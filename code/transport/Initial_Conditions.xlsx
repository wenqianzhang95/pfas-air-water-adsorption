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ma/Schaefer/File Compilation/Modeling Files/MatLab/"/>
    </mc:Choice>
  </mc:AlternateContent>
  <xr:revisionPtr revIDLastSave="0" documentId="13_ncr:1_{CE7DD9E7-9C74-CD4D-8AD2-19807EA102C2}" xr6:coauthVersionLast="47" xr6:coauthVersionMax="47" xr10:uidLastSave="{00000000-0000-0000-0000-000000000000}"/>
  <bookViews>
    <workbookView xWindow="6020" yWindow="2540" windowWidth="23080" windowHeight="17720" xr2:uid="{00000000-000D-0000-FFFF-FFFF00000000}"/>
  </bookViews>
  <sheets>
    <sheet name="Retention_SMP1" sheetId="1" r:id="rId1"/>
    <sheet name="Retention_SMP3" sheetId="4" r:id="rId2"/>
    <sheet name="Pre-Flushing_SMP1" sheetId="3" r:id="rId3"/>
    <sheet name="Pre-Flushing_SMP3" sheetId="6" r:id="rId4"/>
    <sheet name="Post-Flushing_SMP1" sheetId="2" r:id="rId5"/>
    <sheet name="Post-Flushing_SMP3" sheetId="5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5" l="1"/>
  <c r="B103" i="5" s="1"/>
  <c r="B103" i="2"/>
  <c r="C103" i="2" s="1"/>
  <c r="B102" i="2"/>
  <c r="B102" i="6"/>
  <c r="B103" i="6" s="1"/>
  <c r="B20" i="5"/>
  <c r="B19" i="5"/>
  <c r="B18" i="5" s="1"/>
  <c r="B19" i="2"/>
  <c r="B18" i="2" s="1"/>
  <c r="B20" i="2"/>
  <c r="E100" i="5"/>
  <c r="E21" i="5"/>
  <c r="E100" i="2"/>
  <c r="E21" i="2"/>
  <c r="E100" i="6"/>
  <c r="E21" i="6"/>
  <c r="B20" i="6" s="1"/>
  <c r="B103" i="3"/>
  <c r="B104" i="3" s="1"/>
  <c r="B102" i="3"/>
  <c r="E100" i="3"/>
  <c r="B19" i="3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B7" i="3" s="1"/>
  <c r="B6" i="3" s="1"/>
  <c r="B5" i="3" s="1"/>
  <c r="B4" i="3" s="1"/>
  <c r="B3" i="3" s="1"/>
  <c r="B2" i="3" s="1"/>
  <c r="B20" i="3"/>
  <c r="E21" i="3"/>
  <c r="B103" i="4"/>
  <c r="B104" i="4" s="1"/>
  <c r="B102" i="4"/>
  <c r="C102" i="4" s="1"/>
  <c r="E101" i="4"/>
  <c r="B19" i="4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B7" i="4" s="1"/>
  <c r="B6" i="4" s="1"/>
  <c r="B5" i="4" s="1"/>
  <c r="B4" i="4" s="1"/>
  <c r="B3" i="4" s="1"/>
  <c r="B2" i="4" s="1"/>
  <c r="B20" i="4"/>
  <c r="E21" i="4"/>
  <c r="F100" i="1"/>
  <c r="B102" i="1" s="1"/>
  <c r="B20" i="1"/>
  <c r="C20" i="1" s="1"/>
  <c r="F21" i="1"/>
  <c r="C102" i="6"/>
  <c r="C101" i="6"/>
  <c r="B100" i="6"/>
  <c r="C100" i="6" s="1"/>
  <c r="B99" i="6"/>
  <c r="C99" i="6" s="1"/>
  <c r="B98" i="6"/>
  <c r="C98" i="6" s="1"/>
  <c r="B97" i="6"/>
  <c r="C97" i="6" s="1"/>
  <c r="B96" i="6"/>
  <c r="C96" i="6" s="1"/>
  <c r="B95" i="6"/>
  <c r="C95" i="6" s="1"/>
  <c r="B94" i="6"/>
  <c r="C94" i="6" s="1"/>
  <c r="B93" i="6"/>
  <c r="C93" i="6" s="1"/>
  <c r="B92" i="6"/>
  <c r="C92" i="6" s="1"/>
  <c r="B91" i="6"/>
  <c r="C91" i="6" s="1"/>
  <c r="B90" i="6"/>
  <c r="C90" i="6" s="1"/>
  <c r="B89" i="6"/>
  <c r="C89" i="6" s="1"/>
  <c r="B88" i="6"/>
  <c r="C88" i="6" s="1"/>
  <c r="B87" i="6"/>
  <c r="C87" i="6" s="1"/>
  <c r="B86" i="6"/>
  <c r="C86" i="6" s="1"/>
  <c r="B85" i="6"/>
  <c r="C85" i="6" s="1"/>
  <c r="B84" i="6"/>
  <c r="C84" i="6" s="1"/>
  <c r="B83" i="6"/>
  <c r="C83" i="6" s="1"/>
  <c r="B82" i="6"/>
  <c r="C82" i="6" s="1"/>
  <c r="B81" i="6"/>
  <c r="C81" i="6" s="1"/>
  <c r="B80" i="6"/>
  <c r="C80" i="6" s="1"/>
  <c r="B79" i="6"/>
  <c r="C79" i="6" s="1"/>
  <c r="B78" i="6"/>
  <c r="C78" i="6" s="1"/>
  <c r="B77" i="6"/>
  <c r="C77" i="6" s="1"/>
  <c r="B76" i="6"/>
  <c r="C76" i="6" s="1"/>
  <c r="B75" i="6"/>
  <c r="C75" i="6" s="1"/>
  <c r="B74" i="6"/>
  <c r="C74" i="6" s="1"/>
  <c r="B73" i="6"/>
  <c r="C73" i="6" s="1"/>
  <c r="B72" i="6"/>
  <c r="C72" i="6" s="1"/>
  <c r="B71" i="6"/>
  <c r="C71" i="6" s="1"/>
  <c r="B70" i="6"/>
  <c r="C70" i="6" s="1"/>
  <c r="B69" i="6"/>
  <c r="C69" i="6" s="1"/>
  <c r="B68" i="6"/>
  <c r="C68" i="6" s="1"/>
  <c r="B67" i="6"/>
  <c r="C67" i="6" s="1"/>
  <c r="B66" i="6"/>
  <c r="C66" i="6" s="1"/>
  <c r="B65" i="6"/>
  <c r="C65" i="6" s="1"/>
  <c r="B64" i="6"/>
  <c r="C64" i="6" s="1"/>
  <c r="B63" i="6"/>
  <c r="C63" i="6" s="1"/>
  <c r="B62" i="6"/>
  <c r="C62" i="6" s="1"/>
  <c r="C61" i="6"/>
  <c r="B60" i="6"/>
  <c r="C60" i="6" s="1"/>
  <c r="B59" i="6"/>
  <c r="C59" i="6" s="1"/>
  <c r="B58" i="6"/>
  <c r="C58" i="6" s="1"/>
  <c r="B57" i="6"/>
  <c r="C57" i="6" s="1"/>
  <c r="B56" i="6"/>
  <c r="C56" i="6" s="1"/>
  <c r="B55" i="6"/>
  <c r="C55" i="6" s="1"/>
  <c r="B54" i="6"/>
  <c r="C54" i="6" s="1"/>
  <c r="B53" i="6"/>
  <c r="C53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2" i="6"/>
  <c r="C42" i="6" s="1"/>
  <c r="B41" i="6"/>
  <c r="C41" i="6" s="1"/>
  <c r="B40" i="6"/>
  <c r="C40" i="6" s="1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C21" i="6"/>
  <c r="C102" i="5"/>
  <c r="C101" i="5"/>
  <c r="B100" i="5"/>
  <c r="C100" i="5" s="1"/>
  <c r="B99" i="5"/>
  <c r="C99" i="5" s="1"/>
  <c r="B98" i="5"/>
  <c r="C98" i="5" s="1"/>
  <c r="B97" i="5"/>
  <c r="C97" i="5" s="1"/>
  <c r="B96" i="5"/>
  <c r="C96" i="5" s="1"/>
  <c r="B95" i="5"/>
  <c r="C95" i="5" s="1"/>
  <c r="B94" i="5"/>
  <c r="C94" i="5" s="1"/>
  <c r="B93" i="5"/>
  <c r="C93" i="5" s="1"/>
  <c r="B92" i="5"/>
  <c r="C92" i="5" s="1"/>
  <c r="B91" i="5"/>
  <c r="C91" i="5" s="1"/>
  <c r="B90" i="5"/>
  <c r="C90" i="5" s="1"/>
  <c r="B89" i="5"/>
  <c r="C89" i="5" s="1"/>
  <c r="B88" i="5"/>
  <c r="C88" i="5" s="1"/>
  <c r="B87" i="5"/>
  <c r="C87" i="5" s="1"/>
  <c r="B86" i="5"/>
  <c r="C86" i="5" s="1"/>
  <c r="B85" i="5"/>
  <c r="C85" i="5" s="1"/>
  <c r="B84" i="5"/>
  <c r="C84" i="5" s="1"/>
  <c r="B83" i="5"/>
  <c r="C83" i="5" s="1"/>
  <c r="B82" i="5"/>
  <c r="C82" i="5" s="1"/>
  <c r="B81" i="5"/>
  <c r="C81" i="5" s="1"/>
  <c r="B80" i="5"/>
  <c r="C80" i="5" s="1"/>
  <c r="B79" i="5"/>
  <c r="C79" i="5" s="1"/>
  <c r="B78" i="5"/>
  <c r="C78" i="5" s="1"/>
  <c r="B77" i="5"/>
  <c r="C77" i="5" s="1"/>
  <c r="B76" i="5"/>
  <c r="C76" i="5" s="1"/>
  <c r="B75" i="5"/>
  <c r="C75" i="5" s="1"/>
  <c r="B74" i="5"/>
  <c r="C74" i="5" s="1"/>
  <c r="B73" i="5"/>
  <c r="C73" i="5" s="1"/>
  <c r="B72" i="5"/>
  <c r="C72" i="5" s="1"/>
  <c r="B71" i="5"/>
  <c r="C71" i="5" s="1"/>
  <c r="B70" i="5"/>
  <c r="C70" i="5" s="1"/>
  <c r="B69" i="5"/>
  <c r="C69" i="5" s="1"/>
  <c r="B68" i="5"/>
  <c r="C68" i="5" s="1"/>
  <c r="B67" i="5"/>
  <c r="C67" i="5" s="1"/>
  <c r="B66" i="5"/>
  <c r="C66" i="5" s="1"/>
  <c r="B65" i="5"/>
  <c r="C65" i="5" s="1"/>
  <c r="B64" i="5"/>
  <c r="C64" i="5" s="1"/>
  <c r="B63" i="5"/>
  <c r="C63" i="5" s="1"/>
  <c r="B62" i="5"/>
  <c r="C62" i="5" s="1"/>
  <c r="C61" i="5"/>
  <c r="C60" i="5"/>
  <c r="B60" i="5"/>
  <c r="C59" i="5"/>
  <c r="B59" i="5"/>
  <c r="C58" i="5"/>
  <c r="B58" i="5"/>
  <c r="B57" i="5"/>
  <c r="C57" i="5" s="1"/>
  <c r="C56" i="5"/>
  <c r="B56" i="5"/>
  <c r="C55" i="5"/>
  <c r="B55" i="5"/>
  <c r="C54" i="5"/>
  <c r="B54" i="5"/>
  <c r="B53" i="5"/>
  <c r="C53" i="5" s="1"/>
  <c r="C52" i="5"/>
  <c r="B52" i="5"/>
  <c r="B51" i="5"/>
  <c r="C51" i="5" s="1"/>
  <c r="C50" i="5"/>
  <c r="B50" i="5"/>
  <c r="B49" i="5"/>
  <c r="C49" i="5" s="1"/>
  <c r="C48" i="5"/>
  <c r="B48" i="5"/>
  <c r="B47" i="5"/>
  <c r="C47" i="5" s="1"/>
  <c r="C46" i="5"/>
  <c r="B46" i="5"/>
  <c r="B45" i="5"/>
  <c r="C45" i="5" s="1"/>
  <c r="C44" i="5"/>
  <c r="B44" i="5"/>
  <c r="B43" i="5"/>
  <c r="C43" i="5" s="1"/>
  <c r="C42" i="5"/>
  <c r="B42" i="5"/>
  <c r="B41" i="5"/>
  <c r="C41" i="5" s="1"/>
  <c r="C40" i="5"/>
  <c r="B40" i="5"/>
  <c r="B39" i="5"/>
  <c r="C39" i="5" s="1"/>
  <c r="B38" i="5"/>
  <c r="C38" i="5" s="1"/>
  <c r="B37" i="5"/>
  <c r="C37" i="5" s="1"/>
  <c r="C36" i="5"/>
  <c r="B36" i="5"/>
  <c r="B35" i="5"/>
  <c r="C35" i="5" s="1"/>
  <c r="B34" i="5"/>
  <c r="C34" i="5" s="1"/>
  <c r="B33" i="5"/>
  <c r="C33" i="5" s="1"/>
  <c r="C32" i="5"/>
  <c r="B32" i="5"/>
  <c r="B31" i="5"/>
  <c r="C31" i="5" s="1"/>
  <c r="B30" i="5"/>
  <c r="C30" i="5" s="1"/>
  <c r="B29" i="5"/>
  <c r="C29" i="5" s="1"/>
  <c r="C28" i="5"/>
  <c r="B28" i="5"/>
  <c r="B27" i="5"/>
  <c r="C27" i="5" s="1"/>
  <c r="B26" i="5"/>
  <c r="C26" i="5" s="1"/>
  <c r="B25" i="5"/>
  <c r="C25" i="5" s="1"/>
  <c r="C24" i="5"/>
  <c r="B24" i="5"/>
  <c r="B23" i="5"/>
  <c r="C23" i="5" s="1"/>
  <c r="B22" i="5"/>
  <c r="C22" i="5" s="1"/>
  <c r="C21" i="5"/>
  <c r="C20" i="5"/>
  <c r="C103" i="4"/>
  <c r="C101" i="4"/>
  <c r="B100" i="4"/>
  <c r="C100" i="4" s="1"/>
  <c r="B99" i="4"/>
  <c r="C99" i="4" s="1"/>
  <c r="B98" i="4"/>
  <c r="C98" i="4" s="1"/>
  <c r="B97" i="4"/>
  <c r="C97" i="4" s="1"/>
  <c r="B96" i="4"/>
  <c r="C96" i="4" s="1"/>
  <c r="B95" i="4"/>
  <c r="C95" i="4" s="1"/>
  <c r="B94" i="4"/>
  <c r="C94" i="4" s="1"/>
  <c r="B93" i="4"/>
  <c r="C93" i="4" s="1"/>
  <c r="B92" i="4"/>
  <c r="C92" i="4" s="1"/>
  <c r="B91" i="4"/>
  <c r="C91" i="4" s="1"/>
  <c r="B90" i="4"/>
  <c r="C90" i="4" s="1"/>
  <c r="B89" i="4"/>
  <c r="C89" i="4" s="1"/>
  <c r="B88" i="4"/>
  <c r="C88" i="4" s="1"/>
  <c r="B87" i="4"/>
  <c r="C87" i="4" s="1"/>
  <c r="B86" i="4"/>
  <c r="C86" i="4" s="1"/>
  <c r="B85" i="4"/>
  <c r="C85" i="4" s="1"/>
  <c r="B84" i="4"/>
  <c r="C84" i="4" s="1"/>
  <c r="B83" i="4"/>
  <c r="C83" i="4" s="1"/>
  <c r="B82" i="4"/>
  <c r="C82" i="4" s="1"/>
  <c r="B81" i="4"/>
  <c r="C81" i="4" s="1"/>
  <c r="B80" i="4"/>
  <c r="C80" i="4" s="1"/>
  <c r="B79" i="4"/>
  <c r="C79" i="4" s="1"/>
  <c r="B78" i="4"/>
  <c r="C78" i="4" s="1"/>
  <c r="B77" i="4"/>
  <c r="C77" i="4" s="1"/>
  <c r="B76" i="4"/>
  <c r="C76" i="4" s="1"/>
  <c r="B75" i="4"/>
  <c r="C75" i="4" s="1"/>
  <c r="B74" i="4"/>
  <c r="C74" i="4" s="1"/>
  <c r="B73" i="4"/>
  <c r="C73" i="4" s="1"/>
  <c r="B72" i="4"/>
  <c r="C72" i="4" s="1"/>
  <c r="B71" i="4"/>
  <c r="C71" i="4" s="1"/>
  <c r="B70" i="4"/>
  <c r="C70" i="4" s="1"/>
  <c r="B69" i="4"/>
  <c r="C69" i="4" s="1"/>
  <c r="B68" i="4"/>
  <c r="C68" i="4" s="1"/>
  <c r="B67" i="4"/>
  <c r="C67" i="4" s="1"/>
  <c r="B66" i="4"/>
  <c r="C66" i="4" s="1"/>
  <c r="B65" i="4"/>
  <c r="C65" i="4" s="1"/>
  <c r="B64" i="4"/>
  <c r="C64" i="4" s="1"/>
  <c r="B63" i="4"/>
  <c r="C63" i="4" s="1"/>
  <c r="B62" i="4"/>
  <c r="C62" i="4" s="1"/>
  <c r="C61" i="4"/>
  <c r="B60" i="4"/>
  <c r="C60" i="4" s="1"/>
  <c r="B59" i="4"/>
  <c r="C59" i="4" s="1"/>
  <c r="C58" i="4"/>
  <c r="B58" i="4"/>
  <c r="B57" i="4"/>
  <c r="C57" i="4" s="1"/>
  <c r="C56" i="4"/>
  <c r="B56" i="4"/>
  <c r="B55" i="4"/>
  <c r="C55" i="4" s="1"/>
  <c r="B54" i="4"/>
  <c r="C54" i="4" s="1"/>
  <c r="B53" i="4"/>
  <c r="C53" i="4" s="1"/>
  <c r="B52" i="4"/>
  <c r="C52" i="4" s="1"/>
  <c r="B51" i="4"/>
  <c r="C51" i="4" s="1"/>
  <c r="C50" i="4"/>
  <c r="B50" i="4"/>
  <c r="B49" i="4"/>
  <c r="C49" i="4" s="1"/>
  <c r="B48" i="4"/>
  <c r="C48" i="4" s="1"/>
  <c r="B47" i="4"/>
  <c r="C47" i="4" s="1"/>
  <c r="B46" i="4"/>
  <c r="C46" i="4" s="1"/>
  <c r="B45" i="4"/>
  <c r="C45" i="4" s="1"/>
  <c r="B44" i="4"/>
  <c r="C44" i="4" s="1"/>
  <c r="B43" i="4"/>
  <c r="C43" i="4" s="1"/>
  <c r="C42" i="4"/>
  <c r="B42" i="4"/>
  <c r="B41" i="4"/>
  <c r="C41" i="4" s="1"/>
  <c r="C40" i="4"/>
  <c r="B40" i="4"/>
  <c r="B39" i="4"/>
  <c r="C39" i="4" s="1"/>
  <c r="B38" i="4"/>
  <c r="C38" i="4" s="1"/>
  <c r="B37" i="4"/>
  <c r="C37" i="4" s="1"/>
  <c r="B36" i="4"/>
  <c r="C36" i="4" s="1"/>
  <c r="B35" i="4"/>
  <c r="C35" i="4" s="1"/>
  <c r="C34" i="4"/>
  <c r="B34" i="4"/>
  <c r="B33" i="4"/>
  <c r="C33" i="4" s="1"/>
  <c r="B32" i="4"/>
  <c r="C32" i="4" s="1"/>
  <c r="B31" i="4"/>
  <c r="C31" i="4" s="1"/>
  <c r="B30" i="4"/>
  <c r="C30" i="4" s="1"/>
  <c r="B29" i="4"/>
  <c r="C29" i="4" s="1"/>
  <c r="B28" i="4"/>
  <c r="C28" i="4" s="1"/>
  <c r="B27" i="4"/>
  <c r="C27" i="4" s="1"/>
  <c r="C26" i="4"/>
  <c r="B26" i="4"/>
  <c r="B25" i="4"/>
  <c r="C25" i="4" s="1"/>
  <c r="C24" i="4"/>
  <c r="B24" i="4"/>
  <c r="B23" i="4"/>
  <c r="C23" i="4" s="1"/>
  <c r="B22" i="4"/>
  <c r="C22" i="4" s="1"/>
  <c r="C21" i="4"/>
  <c r="C101" i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C61" i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C21" i="1"/>
  <c r="C103" i="3"/>
  <c r="C102" i="3"/>
  <c r="C101" i="3"/>
  <c r="B100" i="3"/>
  <c r="C100" i="3" s="1"/>
  <c r="B99" i="3"/>
  <c r="C99" i="3" s="1"/>
  <c r="C98" i="3"/>
  <c r="B98" i="3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C82" i="3"/>
  <c r="B82" i="3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C61" i="3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C45" i="3"/>
  <c r="B45" i="3"/>
  <c r="B44" i="3"/>
  <c r="C44" i="3" s="1"/>
  <c r="B43" i="3"/>
  <c r="C43" i="3" s="1"/>
  <c r="C42" i="3"/>
  <c r="B42" i="3"/>
  <c r="B41" i="3"/>
  <c r="C41" i="3" s="1"/>
  <c r="B40" i="3"/>
  <c r="C40" i="3" s="1"/>
  <c r="C39" i="3"/>
  <c r="B39" i="3"/>
  <c r="B38" i="3"/>
  <c r="C38" i="3" s="1"/>
  <c r="B37" i="3"/>
  <c r="C37" i="3" s="1"/>
  <c r="B36" i="3"/>
  <c r="C36" i="3" s="1"/>
  <c r="B35" i="3"/>
  <c r="C35" i="3" s="1"/>
  <c r="B34" i="3"/>
  <c r="C34" i="3" s="1"/>
  <c r="C33" i="3"/>
  <c r="B33" i="3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C21" i="3"/>
  <c r="C19" i="2"/>
  <c r="C20" i="2"/>
  <c r="C21" i="2"/>
  <c r="C30" i="2"/>
  <c r="C38" i="2"/>
  <c r="C46" i="2"/>
  <c r="C54" i="2"/>
  <c r="C61" i="2"/>
  <c r="C62" i="2"/>
  <c r="C64" i="2"/>
  <c r="C65" i="2"/>
  <c r="C69" i="2"/>
  <c r="C70" i="2"/>
  <c r="C72" i="2"/>
  <c r="C73" i="2"/>
  <c r="C77" i="2"/>
  <c r="C78" i="2"/>
  <c r="C80" i="2"/>
  <c r="C81" i="2"/>
  <c r="C85" i="2"/>
  <c r="C86" i="2"/>
  <c r="C88" i="2"/>
  <c r="C89" i="2"/>
  <c r="C93" i="2"/>
  <c r="C94" i="2"/>
  <c r="C96" i="2"/>
  <c r="C97" i="2"/>
  <c r="C101" i="2"/>
  <c r="C102" i="2"/>
  <c r="B63" i="2"/>
  <c r="C63" i="2" s="1"/>
  <c r="B64" i="2"/>
  <c r="B65" i="2"/>
  <c r="B66" i="2"/>
  <c r="C66" i="2" s="1"/>
  <c r="B67" i="2"/>
  <c r="C67" i="2" s="1"/>
  <c r="B68" i="2"/>
  <c r="C68" i="2" s="1"/>
  <c r="B69" i="2"/>
  <c r="B70" i="2"/>
  <c r="B71" i="2"/>
  <c r="C71" i="2" s="1"/>
  <c r="B72" i="2"/>
  <c r="B73" i="2"/>
  <c r="B74" i="2"/>
  <c r="C74" i="2" s="1"/>
  <c r="B75" i="2"/>
  <c r="C75" i="2" s="1"/>
  <c r="B76" i="2"/>
  <c r="C76" i="2" s="1"/>
  <c r="B77" i="2"/>
  <c r="B78" i="2"/>
  <c r="B79" i="2"/>
  <c r="C79" i="2" s="1"/>
  <c r="B80" i="2"/>
  <c r="B81" i="2"/>
  <c r="B82" i="2"/>
  <c r="C82" i="2" s="1"/>
  <c r="B83" i="2"/>
  <c r="C83" i="2" s="1"/>
  <c r="B84" i="2"/>
  <c r="C84" i="2" s="1"/>
  <c r="B85" i="2"/>
  <c r="B86" i="2"/>
  <c r="B87" i="2"/>
  <c r="C87" i="2" s="1"/>
  <c r="B88" i="2"/>
  <c r="B89" i="2"/>
  <c r="B90" i="2"/>
  <c r="C90" i="2" s="1"/>
  <c r="B91" i="2"/>
  <c r="C91" i="2" s="1"/>
  <c r="B92" i="2"/>
  <c r="C92" i="2" s="1"/>
  <c r="B93" i="2"/>
  <c r="B94" i="2"/>
  <c r="B95" i="2"/>
  <c r="C95" i="2" s="1"/>
  <c r="B96" i="2"/>
  <c r="B97" i="2"/>
  <c r="B98" i="2"/>
  <c r="C98" i="2" s="1"/>
  <c r="B99" i="2"/>
  <c r="C99" i="2" s="1"/>
  <c r="B100" i="2"/>
  <c r="C100" i="2" s="1"/>
  <c r="B62" i="2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22" i="2"/>
  <c r="C22" i="2" s="1"/>
  <c r="C102" i="1" l="1"/>
  <c r="B103" i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9" i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  <c r="C103" i="5"/>
  <c r="B104" i="5"/>
  <c r="B104" i="2"/>
  <c r="C103" i="6"/>
  <c r="B104" i="6"/>
  <c r="B17" i="5"/>
  <c r="C18" i="5"/>
  <c r="C19" i="5"/>
  <c r="C18" i="2"/>
  <c r="B17" i="2"/>
  <c r="C20" i="6"/>
  <c r="B19" i="6"/>
  <c r="B105" i="3"/>
  <c r="C104" i="3"/>
  <c r="C20" i="3"/>
  <c r="C19" i="3"/>
  <c r="B105" i="4"/>
  <c r="C104" i="4"/>
  <c r="C20" i="4"/>
  <c r="C103" i="1"/>
  <c r="C104" i="1"/>
  <c r="C18" i="4"/>
  <c r="C19" i="4"/>
  <c r="C19" i="1" l="1"/>
  <c r="C18" i="1"/>
  <c r="B105" i="5"/>
  <c r="C104" i="5"/>
  <c r="B105" i="2"/>
  <c r="C104" i="2"/>
  <c r="B105" i="6"/>
  <c r="C104" i="6"/>
  <c r="C17" i="5"/>
  <c r="B16" i="5"/>
  <c r="C17" i="2"/>
  <c r="B16" i="2"/>
  <c r="B18" i="6"/>
  <c r="C19" i="6"/>
  <c r="B106" i="3"/>
  <c r="C105" i="3"/>
  <c r="C18" i="3"/>
  <c r="B106" i="4"/>
  <c r="C105" i="4"/>
  <c r="C105" i="1"/>
  <c r="C17" i="4"/>
  <c r="C17" i="1"/>
  <c r="C105" i="5" l="1"/>
  <c r="B106" i="5"/>
  <c r="C105" i="2"/>
  <c r="B106" i="2"/>
  <c r="C105" i="6"/>
  <c r="B106" i="6"/>
  <c r="C16" i="5"/>
  <c r="B15" i="5"/>
  <c r="C16" i="2"/>
  <c r="B15" i="2"/>
  <c r="B17" i="6"/>
  <c r="C18" i="6"/>
  <c r="C106" i="3"/>
  <c r="B107" i="3"/>
  <c r="C17" i="3"/>
  <c r="C106" i="4"/>
  <c r="B107" i="4"/>
  <c r="C106" i="1"/>
  <c r="C16" i="4"/>
  <c r="C16" i="1"/>
  <c r="C106" i="5" l="1"/>
  <c r="B107" i="5"/>
  <c r="B107" i="2"/>
  <c r="C106" i="2"/>
  <c r="C106" i="6"/>
  <c r="B107" i="6"/>
  <c r="C15" i="5"/>
  <c r="B14" i="5"/>
  <c r="C15" i="2"/>
  <c r="B14" i="2"/>
  <c r="C17" i="6"/>
  <c r="B16" i="6"/>
  <c r="C107" i="3"/>
  <c r="B108" i="3"/>
  <c r="C16" i="3"/>
  <c r="C107" i="4"/>
  <c r="B108" i="4"/>
  <c r="C107" i="1"/>
  <c r="C15" i="4"/>
  <c r="C15" i="1"/>
  <c r="B108" i="5" l="1"/>
  <c r="C107" i="5"/>
  <c r="B108" i="2"/>
  <c r="C107" i="2"/>
  <c r="C107" i="6"/>
  <c r="B108" i="6"/>
  <c r="C14" i="5"/>
  <c r="B13" i="5"/>
  <c r="B13" i="2"/>
  <c r="C14" i="2"/>
  <c r="C16" i="6"/>
  <c r="B15" i="6"/>
  <c r="C108" i="3"/>
  <c r="B109" i="3"/>
  <c r="C15" i="3"/>
  <c r="C108" i="4"/>
  <c r="B109" i="4"/>
  <c r="C108" i="1"/>
  <c r="C14" i="4"/>
  <c r="C14" i="1"/>
  <c r="C108" i="5" l="1"/>
  <c r="B109" i="5"/>
  <c r="B109" i="2"/>
  <c r="C108" i="2"/>
  <c r="C108" i="6"/>
  <c r="B109" i="6"/>
  <c r="B12" i="5"/>
  <c r="C13" i="5"/>
  <c r="B12" i="2"/>
  <c r="C13" i="2"/>
  <c r="C15" i="6"/>
  <c r="B14" i="6"/>
  <c r="B110" i="3"/>
  <c r="C109" i="3"/>
  <c r="C14" i="3"/>
  <c r="C109" i="4"/>
  <c r="B110" i="4"/>
  <c r="C109" i="1"/>
  <c r="C13" i="4"/>
  <c r="C13" i="1"/>
  <c r="B110" i="5" l="1"/>
  <c r="C109" i="5"/>
  <c r="B110" i="2"/>
  <c r="C109" i="2"/>
  <c r="C109" i="6"/>
  <c r="B110" i="6"/>
  <c r="B11" i="5"/>
  <c r="C12" i="5"/>
  <c r="B11" i="2"/>
  <c r="C12" i="2"/>
  <c r="B13" i="6"/>
  <c r="C14" i="6"/>
  <c r="B111" i="3"/>
  <c r="C110" i="3"/>
  <c r="C13" i="3"/>
  <c r="B111" i="4"/>
  <c r="C110" i="4"/>
  <c r="C110" i="1"/>
  <c r="C12" i="4"/>
  <c r="C12" i="1"/>
  <c r="B111" i="5" l="1"/>
  <c r="C110" i="5"/>
  <c r="C110" i="2"/>
  <c r="B111" i="2"/>
  <c r="B111" i="6"/>
  <c r="C110" i="6"/>
  <c r="B10" i="5"/>
  <c r="C11" i="5"/>
  <c r="B10" i="2"/>
  <c r="C11" i="2"/>
  <c r="C13" i="6"/>
  <c r="B12" i="6"/>
  <c r="B112" i="3"/>
  <c r="C111" i="3"/>
  <c r="C12" i="3"/>
  <c r="B112" i="4"/>
  <c r="C111" i="4"/>
  <c r="C111" i="1"/>
  <c r="C11" i="4"/>
  <c r="C11" i="1"/>
  <c r="C111" i="5" l="1"/>
  <c r="B112" i="5"/>
  <c r="C111" i="2"/>
  <c r="B112" i="2"/>
  <c r="C111" i="6"/>
  <c r="B112" i="6"/>
  <c r="B9" i="5"/>
  <c r="C10" i="5"/>
  <c r="C10" i="2"/>
  <c r="B9" i="2"/>
  <c r="C12" i="6"/>
  <c r="B11" i="6"/>
  <c r="B113" i="3"/>
  <c r="C112" i="3"/>
  <c r="C11" i="3"/>
  <c r="B113" i="4"/>
  <c r="C112" i="4"/>
  <c r="C112" i="1"/>
  <c r="C10" i="4"/>
  <c r="C10" i="1"/>
  <c r="B113" i="5" l="1"/>
  <c r="C112" i="5"/>
  <c r="B113" i="2"/>
  <c r="C112" i="2"/>
  <c r="B113" i="6"/>
  <c r="C112" i="6"/>
  <c r="B8" i="5"/>
  <c r="C9" i="5"/>
  <c r="C9" i="2"/>
  <c r="B8" i="2"/>
  <c r="C11" i="6"/>
  <c r="B10" i="6"/>
  <c r="B114" i="3"/>
  <c r="C113" i="3"/>
  <c r="C10" i="3"/>
  <c r="B114" i="4"/>
  <c r="C113" i="4"/>
  <c r="C113" i="1"/>
  <c r="C9" i="4"/>
  <c r="C9" i="1"/>
  <c r="C113" i="5" l="1"/>
  <c r="B114" i="5"/>
  <c r="C113" i="2"/>
  <c r="B114" i="2"/>
  <c r="C113" i="6"/>
  <c r="B114" i="6"/>
  <c r="C8" i="5"/>
  <c r="B7" i="5"/>
  <c r="C8" i="2"/>
  <c r="B7" i="2"/>
  <c r="C10" i="6"/>
  <c r="B9" i="6"/>
  <c r="C114" i="3"/>
  <c r="B115" i="3"/>
  <c r="C9" i="3"/>
  <c r="C114" i="4"/>
  <c r="B115" i="4"/>
  <c r="C114" i="1"/>
  <c r="C8" i="4"/>
  <c r="C8" i="1"/>
  <c r="C114" i="5" l="1"/>
  <c r="B115" i="5"/>
  <c r="B115" i="2"/>
  <c r="C114" i="2"/>
  <c r="C114" i="6"/>
  <c r="B115" i="6"/>
  <c r="C7" i="5"/>
  <c r="B6" i="5"/>
  <c r="C7" i="2"/>
  <c r="B6" i="2"/>
  <c r="C9" i="6"/>
  <c r="B8" i="6"/>
  <c r="C115" i="3"/>
  <c r="B116" i="3"/>
  <c r="C8" i="3"/>
  <c r="C115" i="4"/>
  <c r="B116" i="4"/>
  <c r="C115" i="1"/>
  <c r="C7" i="4"/>
  <c r="C7" i="1"/>
  <c r="B116" i="5" l="1"/>
  <c r="C115" i="5"/>
  <c r="C115" i="2"/>
  <c r="B116" i="2"/>
  <c r="C115" i="6"/>
  <c r="B116" i="6"/>
  <c r="C6" i="5"/>
  <c r="B5" i="5"/>
  <c r="C6" i="2"/>
  <c r="B5" i="2"/>
  <c r="C8" i="6"/>
  <c r="B7" i="6"/>
  <c r="C116" i="3"/>
  <c r="B117" i="3"/>
  <c r="C7" i="3"/>
  <c r="C116" i="4"/>
  <c r="B117" i="4"/>
  <c r="C116" i="1"/>
  <c r="C6" i="4"/>
  <c r="C6" i="1"/>
  <c r="B117" i="5" l="1"/>
  <c r="C116" i="5"/>
  <c r="B117" i="2"/>
  <c r="C116" i="2"/>
  <c r="C116" i="6"/>
  <c r="B117" i="6"/>
  <c r="B4" i="5"/>
  <c r="C5" i="5"/>
  <c r="B4" i="2"/>
  <c r="C5" i="2"/>
  <c r="B6" i="6"/>
  <c r="C7" i="6"/>
  <c r="B118" i="3"/>
  <c r="C117" i="3"/>
  <c r="C6" i="3"/>
  <c r="C117" i="4"/>
  <c r="B118" i="4"/>
  <c r="C117" i="1"/>
  <c r="C5" i="4"/>
  <c r="C5" i="1"/>
  <c r="B118" i="5" l="1"/>
  <c r="C117" i="5"/>
  <c r="C117" i="2"/>
  <c r="B118" i="2"/>
  <c r="C117" i="6"/>
  <c r="B118" i="6"/>
  <c r="B3" i="5"/>
  <c r="C4" i="5"/>
  <c r="B3" i="2"/>
  <c r="C4" i="2"/>
  <c r="B5" i="6"/>
  <c r="C6" i="6"/>
  <c r="B119" i="3"/>
  <c r="C118" i="3"/>
  <c r="C5" i="3"/>
  <c r="B119" i="4"/>
  <c r="C118" i="4"/>
  <c r="C118" i="1"/>
  <c r="C4" i="4"/>
  <c r="C4" i="1"/>
  <c r="B119" i="5" l="1"/>
  <c r="C118" i="5"/>
  <c r="B119" i="2"/>
  <c r="C118" i="2"/>
  <c r="B119" i="6"/>
  <c r="C118" i="6"/>
  <c r="B2" i="5"/>
  <c r="C2" i="5" s="1"/>
  <c r="C3" i="5"/>
  <c r="B2" i="2"/>
  <c r="C2" i="2" s="1"/>
  <c r="C3" i="2"/>
  <c r="B4" i="6"/>
  <c r="C5" i="6"/>
  <c r="B120" i="3"/>
  <c r="C119" i="3"/>
  <c r="C4" i="3"/>
  <c r="B120" i="4"/>
  <c r="C119" i="4"/>
  <c r="C119" i="1"/>
  <c r="C2" i="4"/>
  <c r="C3" i="4"/>
  <c r="C2" i="1"/>
  <c r="C3" i="1"/>
  <c r="C119" i="5" l="1"/>
  <c r="B120" i="5"/>
  <c r="C119" i="2"/>
  <c r="B120" i="2"/>
  <c r="C119" i="6"/>
  <c r="B120" i="6"/>
  <c r="C4" i="6"/>
  <c r="B3" i="6"/>
  <c r="B121" i="3"/>
  <c r="C120" i="3"/>
  <c r="C2" i="3"/>
  <c r="C3" i="3"/>
  <c r="B121" i="4"/>
  <c r="C120" i="4"/>
  <c r="C120" i="1"/>
  <c r="C120" i="5" l="1"/>
  <c r="B121" i="5"/>
  <c r="B121" i="2"/>
  <c r="C120" i="2"/>
  <c r="B121" i="6"/>
  <c r="C120" i="6"/>
  <c r="C3" i="6"/>
  <c r="B2" i="6"/>
  <c r="C2" i="6" s="1"/>
  <c r="B122" i="3"/>
  <c r="C121" i="3"/>
  <c r="B122" i="4"/>
  <c r="C121" i="4"/>
  <c r="C121" i="1"/>
  <c r="C121" i="5" l="1"/>
  <c r="B122" i="5"/>
  <c r="C121" i="2"/>
  <c r="B122" i="2"/>
  <c r="C121" i="6"/>
  <c r="B122" i="6"/>
  <c r="C122" i="3"/>
  <c r="B123" i="3"/>
  <c r="C122" i="4"/>
  <c r="B123" i="4"/>
  <c r="C122" i="1"/>
  <c r="C122" i="5" l="1"/>
  <c r="B123" i="5"/>
  <c r="B123" i="2"/>
  <c r="C122" i="2"/>
  <c r="C122" i="6"/>
  <c r="B123" i="6"/>
  <c r="C123" i="3"/>
  <c r="B124" i="3"/>
  <c r="C123" i="4"/>
  <c r="B124" i="4"/>
  <c r="C123" i="1"/>
  <c r="B124" i="5" l="1"/>
  <c r="C123" i="5"/>
  <c r="B124" i="2"/>
  <c r="C123" i="2"/>
  <c r="C123" i="6"/>
  <c r="B124" i="6"/>
  <c r="C124" i="3"/>
  <c r="B125" i="3"/>
  <c r="C124" i="4"/>
  <c r="B125" i="4"/>
  <c r="C124" i="1"/>
  <c r="B125" i="5" l="1"/>
  <c r="C124" i="5"/>
  <c r="B125" i="2"/>
  <c r="C124" i="2"/>
  <c r="C124" i="6"/>
  <c r="B125" i="6"/>
  <c r="B126" i="3"/>
  <c r="C125" i="3"/>
  <c r="C125" i="4"/>
  <c r="B126" i="4"/>
  <c r="C125" i="1"/>
  <c r="B126" i="5" l="1"/>
  <c r="C125" i="5"/>
  <c r="C125" i="2"/>
  <c r="B126" i="2"/>
  <c r="C125" i="6"/>
  <c r="B126" i="6"/>
  <c r="B127" i="3"/>
  <c r="C126" i="3"/>
  <c r="B127" i="4"/>
  <c r="C126" i="4"/>
  <c r="C126" i="1"/>
  <c r="B127" i="5" l="1"/>
  <c r="C126" i="5"/>
  <c r="B127" i="2"/>
  <c r="C126" i="2"/>
  <c r="B127" i="6"/>
  <c r="C126" i="6"/>
  <c r="B128" i="3"/>
  <c r="C127" i="3"/>
  <c r="B128" i="4"/>
  <c r="C127" i="4"/>
  <c r="C127" i="1"/>
  <c r="C127" i="5" l="1"/>
  <c r="B128" i="5"/>
  <c r="C127" i="2"/>
  <c r="B128" i="2"/>
  <c r="C127" i="6"/>
  <c r="B128" i="6"/>
  <c r="B129" i="3"/>
  <c r="C128" i="3"/>
  <c r="B129" i="4"/>
  <c r="C128" i="4"/>
  <c r="C128" i="1"/>
  <c r="C128" i="5" l="1"/>
  <c r="B129" i="5"/>
  <c r="C128" i="2"/>
  <c r="B129" i="2"/>
  <c r="B129" i="6"/>
  <c r="C128" i="6"/>
  <c r="B130" i="3"/>
  <c r="C129" i="3"/>
  <c r="B130" i="4"/>
  <c r="C129" i="4"/>
  <c r="C129" i="1"/>
  <c r="C129" i="5" l="1"/>
  <c r="B130" i="5"/>
  <c r="C129" i="2"/>
  <c r="B130" i="2"/>
  <c r="C129" i="6"/>
  <c r="B130" i="6"/>
  <c r="C130" i="3"/>
  <c r="B131" i="3"/>
  <c r="C130" i="4"/>
  <c r="B131" i="4"/>
  <c r="C130" i="1"/>
  <c r="C130" i="5" l="1"/>
  <c r="B131" i="5"/>
  <c r="B131" i="2"/>
  <c r="C130" i="2"/>
  <c r="C130" i="6"/>
  <c r="B131" i="6"/>
  <c r="C131" i="3"/>
  <c r="B132" i="3"/>
  <c r="C131" i="4"/>
  <c r="B132" i="4"/>
  <c r="C131" i="1"/>
  <c r="B132" i="5" l="1"/>
  <c r="C131" i="5"/>
  <c r="C131" i="2"/>
  <c r="B132" i="2"/>
  <c r="C131" i="6"/>
  <c r="B132" i="6"/>
  <c r="C132" i="3"/>
  <c r="B133" i="3"/>
  <c r="C132" i="4"/>
  <c r="B133" i="4"/>
  <c r="C132" i="1"/>
  <c r="B133" i="5" l="1"/>
  <c r="C132" i="5"/>
  <c r="B133" i="2"/>
  <c r="C132" i="2"/>
  <c r="C132" i="6"/>
  <c r="B133" i="6"/>
  <c r="B134" i="3"/>
  <c r="C133" i="3"/>
  <c r="C133" i="4"/>
  <c r="B134" i="4"/>
  <c r="C133" i="1"/>
  <c r="B134" i="5" l="1"/>
  <c r="C133" i="5"/>
  <c r="B134" i="2"/>
  <c r="C133" i="2"/>
  <c r="C133" i="6"/>
  <c r="B134" i="6"/>
  <c r="B135" i="3"/>
  <c r="C134" i="3"/>
  <c r="B135" i="4"/>
  <c r="C134" i="4"/>
  <c r="C134" i="1"/>
  <c r="B135" i="5" l="1"/>
  <c r="C134" i="5"/>
  <c r="B135" i="2"/>
  <c r="C134" i="2"/>
  <c r="B135" i="6"/>
  <c r="C134" i="6"/>
  <c r="B136" i="3"/>
  <c r="C135" i="3"/>
  <c r="B136" i="4"/>
  <c r="C135" i="4"/>
  <c r="C135" i="1"/>
  <c r="C135" i="5" l="1"/>
  <c r="B136" i="5"/>
  <c r="C135" i="2"/>
  <c r="B136" i="2"/>
  <c r="C135" i="6"/>
  <c r="B136" i="6"/>
  <c r="B137" i="3"/>
  <c r="C136" i="3"/>
  <c r="B137" i="4"/>
  <c r="C136" i="4"/>
  <c r="C136" i="1"/>
  <c r="C136" i="5" l="1"/>
  <c r="B137" i="5"/>
  <c r="C136" i="2"/>
  <c r="B137" i="2"/>
  <c r="B137" i="6"/>
  <c r="C136" i="6"/>
  <c r="B138" i="3"/>
  <c r="C137" i="3"/>
  <c r="B138" i="4"/>
  <c r="C137" i="4"/>
  <c r="C137" i="1"/>
  <c r="C137" i="5" l="1"/>
  <c r="B138" i="5"/>
  <c r="C137" i="2"/>
  <c r="B138" i="2"/>
  <c r="C137" i="6"/>
  <c r="B138" i="6"/>
  <c r="C138" i="3"/>
  <c r="B139" i="3"/>
  <c r="C138" i="4"/>
  <c r="B139" i="4"/>
  <c r="C138" i="1"/>
  <c r="C138" i="5" l="1"/>
  <c r="B139" i="5"/>
  <c r="B139" i="2"/>
  <c r="C138" i="2"/>
  <c r="C138" i="6"/>
  <c r="B139" i="6"/>
  <c r="C139" i="3"/>
  <c r="B140" i="3"/>
  <c r="C139" i="4"/>
  <c r="B140" i="4"/>
  <c r="C139" i="1"/>
  <c r="B140" i="5" l="1"/>
  <c r="C139" i="5"/>
  <c r="C139" i="2"/>
  <c r="B140" i="2"/>
  <c r="C139" i="6"/>
  <c r="B140" i="6"/>
  <c r="C140" i="3"/>
  <c r="B141" i="3"/>
  <c r="C140" i="4"/>
  <c r="B141" i="4"/>
  <c r="C140" i="1"/>
  <c r="C140" i="5" l="1"/>
  <c r="B141" i="5"/>
  <c r="B141" i="2"/>
  <c r="C140" i="2"/>
  <c r="C140" i="6"/>
  <c r="B141" i="6"/>
  <c r="B142" i="3"/>
  <c r="C141" i="3"/>
  <c r="C141" i="4"/>
  <c r="B142" i="4"/>
  <c r="C141" i="1"/>
  <c r="B142" i="5" l="1"/>
  <c r="C141" i="5"/>
  <c r="C141" i="2"/>
  <c r="B142" i="2"/>
  <c r="C141" i="6"/>
  <c r="B142" i="6"/>
  <c r="B143" i="3"/>
  <c r="C142" i="3"/>
  <c r="B143" i="4"/>
  <c r="C142" i="4"/>
  <c r="C142" i="1"/>
  <c r="B143" i="5" l="1"/>
  <c r="C142" i="5"/>
  <c r="B143" i="2"/>
  <c r="C142" i="2"/>
  <c r="B143" i="6"/>
  <c r="C142" i="6"/>
  <c r="B144" i="3"/>
  <c r="C143" i="3"/>
  <c r="B144" i="4"/>
  <c r="C143" i="4"/>
  <c r="C143" i="1"/>
  <c r="C143" i="5" l="1"/>
  <c r="B144" i="5"/>
  <c r="C143" i="2"/>
  <c r="B144" i="2"/>
  <c r="C143" i="6"/>
  <c r="B144" i="6"/>
  <c r="B145" i="3"/>
  <c r="C144" i="3"/>
  <c r="B145" i="4"/>
  <c r="C144" i="4"/>
  <c r="C144" i="1"/>
  <c r="C144" i="5" l="1"/>
  <c r="B145" i="5"/>
  <c r="C144" i="2"/>
  <c r="B145" i="2"/>
  <c r="C144" i="6"/>
  <c r="B145" i="6"/>
  <c r="B146" i="3"/>
  <c r="C145" i="3"/>
  <c r="B146" i="4"/>
  <c r="C145" i="4"/>
  <c r="C145" i="1"/>
  <c r="C145" i="5" l="1"/>
  <c r="B146" i="5"/>
  <c r="C145" i="2"/>
  <c r="B146" i="2"/>
  <c r="C145" i="6"/>
  <c r="B146" i="6"/>
  <c r="C146" i="3"/>
  <c r="B147" i="3"/>
  <c r="C146" i="4"/>
  <c r="B147" i="4"/>
  <c r="C146" i="1"/>
  <c r="C146" i="5" l="1"/>
  <c r="B147" i="5"/>
  <c r="B147" i="2"/>
  <c r="C146" i="2"/>
  <c r="C146" i="6"/>
  <c r="B147" i="6"/>
  <c r="C147" i="3"/>
  <c r="B148" i="3"/>
  <c r="C147" i="4"/>
  <c r="B148" i="4"/>
  <c r="C147" i="1"/>
  <c r="B148" i="5" l="1"/>
  <c r="C147" i="5"/>
  <c r="B148" i="2"/>
  <c r="C147" i="2"/>
  <c r="C147" i="6"/>
  <c r="B148" i="6"/>
  <c r="C148" i="3"/>
  <c r="B149" i="3"/>
  <c r="C148" i="4"/>
  <c r="B149" i="4"/>
  <c r="C148" i="1"/>
  <c r="B149" i="5" l="1"/>
  <c r="C148" i="5"/>
  <c r="B149" i="2"/>
  <c r="C148" i="2"/>
  <c r="C148" i="6"/>
  <c r="B149" i="6"/>
  <c r="B150" i="3"/>
  <c r="C149" i="3"/>
  <c r="C149" i="4"/>
  <c r="B150" i="4"/>
  <c r="C149" i="1"/>
  <c r="B150" i="5" l="1"/>
  <c r="C149" i="5"/>
  <c r="B150" i="2"/>
  <c r="C149" i="2"/>
  <c r="C149" i="6"/>
  <c r="B150" i="6"/>
  <c r="B151" i="3"/>
  <c r="C151" i="3" s="1"/>
  <c r="C150" i="3"/>
  <c r="B151" i="4"/>
  <c r="C151" i="4" s="1"/>
  <c r="C150" i="4"/>
  <c r="C151" i="1"/>
  <c r="C150" i="1"/>
  <c r="B151" i="5" l="1"/>
  <c r="C151" i="5" s="1"/>
  <c r="C150" i="5"/>
  <c r="B151" i="2"/>
  <c r="C151" i="2" s="1"/>
  <c r="C150" i="2"/>
  <c r="B151" i="6"/>
  <c r="C151" i="6" s="1"/>
  <c r="C150" i="6"/>
</calcChain>
</file>

<file path=xl/sharedStrings.xml><?xml version="1.0" encoding="utf-8"?>
<sst xmlns="http://schemas.openxmlformats.org/spreadsheetml/2006/main" count="73" uniqueCount="12">
  <si>
    <t>Depth (cm)</t>
  </si>
  <si>
    <t>Saturation</t>
  </si>
  <si>
    <t>Water Content</t>
  </si>
  <si>
    <t>h</t>
  </si>
  <si>
    <t>SMP-1</t>
  </si>
  <si>
    <t>SMP-2 (20cm)</t>
  </si>
  <si>
    <t>SMP-2 (60cm)</t>
  </si>
  <si>
    <t>SMP-3</t>
  </si>
  <si>
    <t>SMP</t>
  </si>
  <si>
    <t>Init Saturation</t>
  </si>
  <si>
    <t>Slope of Linear Interpolation</t>
  </si>
  <si>
    <t>0.35--porosity-SI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</si>
</sst>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G151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0.5" customWidth="1"/>
    <col min="2" max="2" width="12.33203125" customWidth="1"/>
    <col min="3" max="3" width="13.33203125" bestFit="1" customWidth="1"/>
    <col min="4" max="4" width="12.6640625" bestFit="1" customWidth="1"/>
    <col min="5" max="5" width="9.1640625" customWidth="1"/>
    <col min="6" max="6" width="24.5" bestFit="1" customWidth="1"/>
    <col min="7" max="7" width="12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8</v>
      </c>
      <c r="G1" s="1" t="s">
        <v>9</v>
      </c>
    </row>
    <row r="2" spans="1:7" x14ac:dyDescent="0.2">
      <c r="A2">
        <v>1</v>
      </c>
      <c r="B2">
        <f t="shared" ref="B2:B19" si="0">B3-$F$21</f>
        <v>0.29735099999999975</v>
      </c>
      <c r="C2">
        <f>B2*0.35</f>
        <v>0.10407284999999991</v>
      </c>
      <c r="D2">
        <v>-42.2541142666173</v>
      </c>
      <c r="F2" t="s">
        <v>4</v>
      </c>
      <c r="G2">
        <v>0.39484000000000002</v>
      </c>
    </row>
    <row r="3" spans="1:7" x14ac:dyDescent="0.2">
      <c r="A3">
        <v>2</v>
      </c>
      <c r="B3">
        <f t="shared" si="0"/>
        <v>0.29922199999999977</v>
      </c>
      <c r="C3">
        <f t="shared" ref="C3:C66" si="1">B3*0.35</f>
        <v>0.10472769999999991</v>
      </c>
      <c r="D3">
        <v>-42.448211235345603</v>
      </c>
      <c r="F3" t="s">
        <v>5</v>
      </c>
      <c r="G3">
        <v>0.33289999999999997</v>
      </c>
    </row>
    <row r="4" spans="1:7" x14ac:dyDescent="0.2">
      <c r="A4">
        <v>3</v>
      </c>
      <c r="B4">
        <f t="shared" si="0"/>
        <v>0.30109299999999978</v>
      </c>
      <c r="C4">
        <f t="shared" si="1"/>
        <v>0.10538254999999992</v>
      </c>
      <c r="D4">
        <v>-42.642308204073899</v>
      </c>
      <c r="F4" t="s">
        <v>6</v>
      </c>
      <c r="G4">
        <v>0.40773999999999999</v>
      </c>
    </row>
    <row r="5" spans="1:7" x14ac:dyDescent="0.2">
      <c r="A5">
        <v>4</v>
      </c>
      <c r="B5">
        <f t="shared" si="0"/>
        <v>0.30296399999999979</v>
      </c>
      <c r="C5">
        <f t="shared" si="1"/>
        <v>0.10603739999999992</v>
      </c>
      <c r="D5">
        <v>-42.836405172802301</v>
      </c>
      <c r="F5" t="s">
        <v>7</v>
      </c>
      <c r="G5">
        <v>0.34967999999999999</v>
      </c>
    </row>
    <row r="6" spans="1:7" x14ac:dyDescent="0.2">
      <c r="A6">
        <v>5</v>
      </c>
      <c r="B6">
        <f t="shared" si="0"/>
        <v>0.3048349999999998</v>
      </c>
      <c r="C6">
        <f t="shared" si="1"/>
        <v>0.10669224999999992</v>
      </c>
      <c r="D6">
        <v>-43.030502141530597</v>
      </c>
    </row>
    <row r="7" spans="1:7" x14ac:dyDescent="0.2">
      <c r="A7">
        <v>6</v>
      </c>
      <c r="B7">
        <f t="shared" si="0"/>
        <v>0.30670599999999981</v>
      </c>
      <c r="C7">
        <f t="shared" si="1"/>
        <v>0.10734709999999993</v>
      </c>
      <c r="D7">
        <v>-43.2245991102589</v>
      </c>
    </row>
    <row r="8" spans="1:7" x14ac:dyDescent="0.2">
      <c r="A8">
        <v>7</v>
      </c>
      <c r="B8">
        <f t="shared" si="0"/>
        <v>0.30857699999999982</v>
      </c>
      <c r="C8">
        <f t="shared" si="1"/>
        <v>0.10800194999999993</v>
      </c>
      <c r="D8">
        <v>-43.418696078987203</v>
      </c>
      <c r="F8" s="2" t="s">
        <v>11</v>
      </c>
    </row>
    <row r="9" spans="1:7" x14ac:dyDescent="0.2">
      <c r="A9">
        <v>8</v>
      </c>
      <c r="B9">
        <f t="shared" si="0"/>
        <v>0.31044799999999984</v>
      </c>
      <c r="C9">
        <f t="shared" si="1"/>
        <v>0.10865679999999994</v>
      </c>
      <c r="D9">
        <v>-43.612793047715499</v>
      </c>
    </row>
    <row r="10" spans="1:7" x14ac:dyDescent="0.2">
      <c r="A10">
        <v>9</v>
      </c>
      <c r="B10">
        <f t="shared" si="0"/>
        <v>0.31231899999999985</v>
      </c>
      <c r="C10">
        <f t="shared" si="1"/>
        <v>0.10931164999999994</v>
      </c>
      <c r="D10">
        <v>-43.806890016443802</v>
      </c>
    </row>
    <row r="11" spans="1:7" x14ac:dyDescent="0.2">
      <c r="A11">
        <v>10</v>
      </c>
      <c r="B11">
        <f t="shared" si="0"/>
        <v>0.31418999999999986</v>
      </c>
      <c r="C11">
        <f t="shared" si="1"/>
        <v>0.10996649999999994</v>
      </c>
      <c r="D11">
        <v>-44.000986985172098</v>
      </c>
    </row>
    <row r="12" spans="1:7" x14ac:dyDescent="0.2">
      <c r="A12">
        <v>11</v>
      </c>
      <c r="B12">
        <f t="shared" si="0"/>
        <v>0.31606099999999987</v>
      </c>
      <c r="C12">
        <f t="shared" si="1"/>
        <v>0.11062134999999995</v>
      </c>
      <c r="D12">
        <v>-44.195083953900401</v>
      </c>
    </row>
    <row r="13" spans="1:7" x14ac:dyDescent="0.2">
      <c r="A13">
        <v>12</v>
      </c>
      <c r="B13">
        <f t="shared" si="0"/>
        <v>0.31793199999999988</v>
      </c>
      <c r="C13">
        <f t="shared" si="1"/>
        <v>0.11127619999999995</v>
      </c>
      <c r="D13">
        <v>-44.389180922628697</v>
      </c>
    </row>
    <row r="14" spans="1:7" x14ac:dyDescent="0.2">
      <c r="A14">
        <v>13</v>
      </c>
      <c r="B14">
        <f t="shared" si="0"/>
        <v>0.31980299999999989</v>
      </c>
      <c r="C14">
        <f t="shared" si="1"/>
        <v>0.11193104999999995</v>
      </c>
      <c r="D14">
        <v>-44.583277891357</v>
      </c>
    </row>
    <row r="15" spans="1:7" x14ac:dyDescent="0.2">
      <c r="A15">
        <v>14</v>
      </c>
      <c r="B15">
        <f t="shared" si="0"/>
        <v>0.3216739999999999</v>
      </c>
      <c r="C15">
        <f t="shared" si="1"/>
        <v>0.11258589999999996</v>
      </c>
      <c r="D15">
        <v>-44.777374860085303</v>
      </c>
    </row>
    <row r="16" spans="1:7" x14ac:dyDescent="0.2">
      <c r="A16">
        <v>15</v>
      </c>
      <c r="B16">
        <f t="shared" si="0"/>
        <v>0.32354499999999992</v>
      </c>
      <c r="C16">
        <f t="shared" si="1"/>
        <v>0.11324074999999996</v>
      </c>
      <c r="D16">
        <v>-44.971471828813598</v>
      </c>
    </row>
    <row r="17" spans="1:6" x14ac:dyDescent="0.2">
      <c r="A17">
        <v>16</v>
      </c>
      <c r="B17">
        <f t="shared" si="0"/>
        <v>0.32541599999999993</v>
      </c>
      <c r="C17">
        <f t="shared" si="1"/>
        <v>0.11389559999999997</v>
      </c>
      <c r="D17">
        <v>-45.165568797541901</v>
      </c>
    </row>
    <row r="18" spans="1:6" x14ac:dyDescent="0.2">
      <c r="A18">
        <v>17</v>
      </c>
      <c r="B18">
        <f t="shared" si="0"/>
        <v>0.32728699999999994</v>
      </c>
      <c r="C18">
        <f t="shared" si="1"/>
        <v>0.11455044999999997</v>
      </c>
      <c r="D18">
        <v>-45.359665766270197</v>
      </c>
    </row>
    <row r="19" spans="1:6" x14ac:dyDescent="0.2">
      <c r="A19">
        <v>18</v>
      </c>
      <c r="B19">
        <f t="shared" si="0"/>
        <v>0.32915799999999995</v>
      </c>
      <c r="C19">
        <f t="shared" si="1"/>
        <v>0.11520529999999997</v>
      </c>
      <c r="D19">
        <v>-45.5537627349985</v>
      </c>
    </row>
    <row r="20" spans="1:6" x14ac:dyDescent="0.2">
      <c r="A20">
        <v>19</v>
      </c>
      <c r="B20">
        <f>B21-$F$21</f>
        <v>0.33102899999999996</v>
      </c>
      <c r="C20">
        <f t="shared" si="1"/>
        <v>0.11586014999999998</v>
      </c>
      <c r="D20">
        <v>-45.747859703726803</v>
      </c>
      <c r="F20" t="s">
        <v>10</v>
      </c>
    </row>
    <row r="21" spans="1:6" x14ac:dyDescent="0.2">
      <c r="A21">
        <v>20</v>
      </c>
      <c r="B21">
        <v>0.33289999999999997</v>
      </c>
      <c r="C21">
        <f t="shared" si="1"/>
        <v>0.11651499999999998</v>
      </c>
      <c r="D21">
        <v>-45.941956672455099</v>
      </c>
      <c r="F21">
        <f>((($B$61-$B$21)/($A$61-$A$21)))</f>
        <v>1.8710000000000005E-3</v>
      </c>
    </row>
    <row r="22" spans="1:6" x14ac:dyDescent="0.2">
      <c r="A22">
        <v>21</v>
      </c>
      <c r="B22">
        <f t="shared" ref="B22:B60" si="2">((($B$61-$B$21)/($A$61-$A$21)) *(A22-$A$21)) + $B$21</f>
        <v>0.33477099999999999</v>
      </c>
      <c r="C22">
        <f t="shared" si="1"/>
        <v>0.11716984999999999</v>
      </c>
      <c r="D22">
        <v>-46.136053641183402</v>
      </c>
    </row>
    <row r="23" spans="1:6" x14ac:dyDescent="0.2">
      <c r="A23">
        <v>22</v>
      </c>
      <c r="B23">
        <f t="shared" si="2"/>
        <v>0.336642</v>
      </c>
      <c r="C23">
        <f t="shared" si="1"/>
        <v>0.11782469999999999</v>
      </c>
      <c r="D23">
        <v>-46.330150609911698</v>
      </c>
    </row>
    <row r="24" spans="1:6" x14ac:dyDescent="0.2">
      <c r="A24">
        <v>23</v>
      </c>
      <c r="B24">
        <f t="shared" si="2"/>
        <v>0.33851299999999995</v>
      </c>
      <c r="C24">
        <f t="shared" si="1"/>
        <v>0.11847954999999998</v>
      </c>
      <c r="D24">
        <v>-46.524247578640001</v>
      </c>
    </row>
    <row r="25" spans="1:6" x14ac:dyDescent="0.2">
      <c r="A25">
        <v>24</v>
      </c>
      <c r="B25">
        <f t="shared" si="2"/>
        <v>0.34038399999999996</v>
      </c>
      <c r="C25">
        <f t="shared" si="1"/>
        <v>0.11913439999999997</v>
      </c>
      <c r="D25">
        <v>-46.718344547368297</v>
      </c>
    </row>
    <row r="26" spans="1:6" x14ac:dyDescent="0.2">
      <c r="A26">
        <v>25</v>
      </c>
      <c r="B26">
        <f t="shared" si="2"/>
        <v>0.34225499999999998</v>
      </c>
      <c r="C26">
        <f t="shared" si="1"/>
        <v>0.11978924999999999</v>
      </c>
      <c r="D26">
        <v>-46.9124415160966</v>
      </c>
    </row>
    <row r="27" spans="1:6" x14ac:dyDescent="0.2">
      <c r="A27">
        <v>26</v>
      </c>
      <c r="B27">
        <f t="shared" si="2"/>
        <v>0.34412599999999999</v>
      </c>
      <c r="C27">
        <f t="shared" si="1"/>
        <v>0.12044409999999998</v>
      </c>
      <c r="D27">
        <v>-47.106538484824902</v>
      </c>
    </row>
    <row r="28" spans="1:6" x14ac:dyDescent="0.2">
      <c r="A28">
        <v>27</v>
      </c>
      <c r="B28">
        <f t="shared" si="2"/>
        <v>0.345997</v>
      </c>
      <c r="C28">
        <f t="shared" si="1"/>
        <v>0.12109895</v>
      </c>
      <c r="D28">
        <v>-47.300635453553198</v>
      </c>
    </row>
    <row r="29" spans="1:6" x14ac:dyDescent="0.2">
      <c r="A29">
        <v>28</v>
      </c>
      <c r="B29">
        <f t="shared" si="2"/>
        <v>0.34786799999999996</v>
      </c>
      <c r="C29">
        <f t="shared" si="1"/>
        <v>0.12175379999999998</v>
      </c>
      <c r="D29">
        <v>-47.494732422281501</v>
      </c>
    </row>
    <row r="30" spans="1:6" x14ac:dyDescent="0.2">
      <c r="A30">
        <v>29</v>
      </c>
      <c r="B30">
        <f t="shared" si="2"/>
        <v>0.34973899999999997</v>
      </c>
      <c r="C30">
        <f t="shared" si="1"/>
        <v>0.12240864999999998</v>
      </c>
      <c r="D30">
        <v>-47.688829391009797</v>
      </c>
    </row>
    <row r="31" spans="1:6" x14ac:dyDescent="0.2">
      <c r="A31">
        <v>30</v>
      </c>
      <c r="B31">
        <f t="shared" si="2"/>
        <v>0.35160999999999998</v>
      </c>
      <c r="C31">
        <f t="shared" si="1"/>
        <v>0.12306349999999998</v>
      </c>
      <c r="D31">
        <v>-47.8829263597381</v>
      </c>
    </row>
    <row r="32" spans="1:6" x14ac:dyDescent="0.2">
      <c r="A32">
        <v>31</v>
      </c>
      <c r="B32">
        <f t="shared" si="2"/>
        <v>0.35348099999999999</v>
      </c>
      <c r="C32">
        <f t="shared" si="1"/>
        <v>0.12371834999999999</v>
      </c>
      <c r="D32">
        <v>-48.077023328466403</v>
      </c>
    </row>
    <row r="33" spans="1:4" x14ac:dyDescent="0.2">
      <c r="A33">
        <v>32</v>
      </c>
      <c r="B33">
        <f t="shared" si="2"/>
        <v>0.355352</v>
      </c>
      <c r="C33">
        <f t="shared" si="1"/>
        <v>0.12437319999999999</v>
      </c>
      <c r="D33">
        <v>-48.271120297194798</v>
      </c>
    </row>
    <row r="34" spans="1:4" x14ac:dyDescent="0.2">
      <c r="A34">
        <v>33</v>
      </c>
      <c r="B34">
        <f t="shared" si="2"/>
        <v>0.35722299999999996</v>
      </c>
      <c r="C34">
        <f t="shared" si="1"/>
        <v>0.12502804999999997</v>
      </c>
      <c r="D34">
        <v>-48.465217265923002</v>
      </c>
    </row>
    <row r="35" spans="1:4" x14ac:dyDescent="0.2">
      <c r="A35">
        <v>34</v>
      </c>
      <c r="B35">
        <f t="shared" si="2"/>
        <v>0.35909399999999997</v>
      </c>
      <c r="C35">
        <f t="shared" si="1"/>
        <v>0.12568289999999999</v>
      </c>
      <c r="D35">
        <v>-48.659314234651397</v>
      </c>
    </row>
    <row r="36" spans="1:4" x14ac:dyDescent="0.2">
      <c r="A36">
        <v>35</v>
      </c>
      <c r="B36">
        <f t="shared" si="2"/>
        <v>0.36096499999999998</v>
      </c>
      <c r="C36">
        <f t="shared" si="1"/>
        <v>0.12633775</v>
      </c>
      <c r="D36">
        <v>-48.8534112033797</v>
      </c>
    </row>
    <row r="37" spans="1:4" x14ac:dyDescent="0.2">
      <c r="A37">
        <v>36</v>
      </c>
      <c r="B37">
        <f t="shared" si="2"/>
        <v>0.36283599999999999</v>
      </c>
      <c r="C37">
        <f t="shared" si="1"/>
        <v>0.12699259999999998</v>
      </c>
      <c r="D37">
        <v>-49.047508172108003</v>
      </c>
    </row>
    <row r="38" spans="1:4" x14ac:dyDescent="0.2">
      <c r="A38">
        <v>37</v>
      </c>
      <c r="B38">
        <f t="shared" si="2"/>
        <v>0.364707</v>
      </c>
      <c r="C38">
        <f t="shared" si="1"/>
        <v>0.12764745</v>
      </c>
      <c r="D38">
        <v>-49.241605140836299</v>
      </c>
    </row>
    <row r="39" spans="1:4" x14ac:dyDescent="0.2">
      <c r="A39">
        <v>38</v>
      </c>
      <c r="B39">
        <f t="shared" si="2"/>
        <v>0.36657799999999996</v>
      </c>
      <c r="C39">
        <f t="shared" si="1"/>
        <v>0.12830229999999998</v>
      </c>
      <c r="D39">
        <v>-49.435702109564602</v>
      </c>
    </row>
    <row r="40" spans="1:4" x14ac:dyDescent="0.2">
      <c r="A40">
        <v>39</v>
      </c>
      <c r="B40">
        <f t="shared" si="2"/>
        <v>0.36844899999999997</v>
      </c>
      <c r="C40">
        <f t="shared" si="1"/>
        <v>0.12895714999999999</v>
      </c>
      <c r="D40">
        <v>-49.629799078292898</v>
      </c>
    </row>
    <row r="41" spans="1:4" x14ac:dyDescent="0.2">
      <c r="A41">
        <v>40</v>
      </c>
      <c r="B41">
        <f t="shared" si="2"/>
        <v>0.37031999999999998</v>
      </c>
      <c r="C41">
        <f t="shared" si="1"/>
        <v>0.12961199999999998</v>
      </c>
      <c r="D41">
        <v>-49.823896047021201</v>
      </c>
    </row>
    <row r="42" spans="1:4" x14ac:dyDescent="0.2">
      <c r="A42">
        <v>41</v>
      </c>
      <c r="B42">
        <f t="shared" si="2"/>
        <v>0.37219099999999999</v>
      </c>
      <c r="C42">
        <f t="shared" si="1"/>
        <v>0.13026684999999999</v>
      </c>
      <c r="D42">
        <v>-50.017993015749497</v>
      </c>
    </row>
    <row r="43" spans="1:4" x14ac:dyDescent="0.2">
      <c r="A43">
        <v>42</v>
      </c>
      <c r="B43">
        <f t="shared" si="2"/>
        <v>0.37406200000000001</v>
      </c>
      <c r="C43">
        <f t="shared" si="1"/>
        <v>0.1309217</v>
      </c>
      <c r="D43">
        <v>-50.212089984477799</v>
      </c>
    </row>
    <row r="44" spans="1:4" x14ac:dyDescent="0.2">
      <c r="A44">
        <v>43</v>
      </c>
      <c r="B44">
        <f t="shared" si="2"/>
        <v>0.37593299999999996</v>
      </c>
      <c r="C44">
        <f t="shared" si="1"/>
        <v>0.13157654999999999</v>
      </c>
      <c r="D44">
        <v>-50.406186953206102</v>
      </c>
    </row>
    <row r="45" spans="1:4" x14ac:dyDescent="0.2">
      <c r="A45">
        <v>44</v>
      </c>
      <c r="B45">
        <f t="shared" si="2"/>
        <v>0.37780399999999997</v>
      </c>
      <c r="C45">
        <f t="shared" si="1"/>
        <v>0.13223139999999997</v>
      </c>
      <c r="D45">
        <v>-50.600283921934398</v>
      </c>
    </row>
    <row r="46" spans="1:4" x14ac:dyDescent="0.2">
      <c r="A46">
        <v>45</v>
      </c>
      <c r="B46">
        <f t="shared" si="2"/>
        <v>0.37967499999999998</v>
      </c>
      <c r="C46">
        <f t="shared" si="1"/>
        <v>0.13288624999999998</v>
      </c>
      <c r="D46">
        <v>-50.794380890662701</v>
      </c>
    </row>
    <row r="47" spans="1:4" x14ac:dyDescent="0.2">
      <c r="A47">
        <v>46</v>
      </c>
      <c r="B47">
        <f t="shared" si="2"/>
        <v>0.381546</v>
      </c>
      <c r="C47">
        <f t="shared" si="1"/>
        <v>0.1335411</v>
      </c>
      <c r="D47">
        <v>-50.988477859390997</v>
      </c>
    </row>
    <row r="48" spans="1:4" x14ac:dyDescent="0.2">
      <c r="A48">
        <v>47</v>
      </c>
      <c r="B48">
        <f t="shared" si="2"/>
        <v>0.38341700000000001</v>
      </c>
      <c r="C48">
        <f t="shared" si="1"/>
        <v>0.13419594999999998</v>
      </c>
      <c r="D48">
        <v>-51.1825748281193</v>
      </c>
    </row>
    <row r="49" spans="1:4" x14ac:dyDescent="0.2">
      <c r="A49">
        <v>48</v>
      </c>
      <c r="B49">
        <f t="shared" si="2"/>
        <v>0.38528799999999996</v>
      </c>
      <c r="C49">
        <f t="shared" si="1"/>
        <v>0.13485079999999997</v>
      </c>
      <c r="D49">
        <v>-51.376671796847603</v>
      </c>
    </row>
    <row r="50" spans="1:4" x14ac:dyDescent="0.2">
      <c r="A50">
        <v>49</v>
      </c>
      <c r="B50">
        <f t="shared" si="2"/>
        <v>0.38715899999999998</v>
      </c>
      <c r="C50">
        <f t="shared" si="1"/>
        <v>0.13550564999999998</v>
      </c>
      <c r="D50">
        <v>-51.570768765575899</v>
      </c>
    </row>
    <row r="51" spans="1:4" x14ac:dyDescent="0.2">
      <c r="A51">
        <v>50</v>
      </c>
      <c r="B51">
        <f t="shared" si="2"/>
        <v>0.38902999999999999</v>
      </c>
      <c r="C51">
        <f t="shared" si="1"/>
        <v>0.13616049999999999</v>
      </c>
      <c r="D51">
        <v>-51.764865734304202</v>
      </c>
    </row>
    <row r="52" spans="1:4" x14ac:dyDescent="0.2">
      <c r="A52">
        <v>51</v>
      </c>
      <c r="B52">
        <f t="shared" si="2"/>
        <v>0.390901</v>
      </c>
      <c r="C52">
        <f t="shared" si="1"/>
        <v>0.13681535</v>
      </c>
      <c r="D52">
        <v>-51.958962703032498</v>
      </c>
    </row>
    <row r="53" spans="1:4" x14ac:dyDescent="0.2">
      <c r="A53">
        <v>52</v>
      </c>
      <c r="B53">
        <f t="shared" si="2"/>
        <v>0.39277200000000001</v>
      </c>
      <c r="C53">
        <f t="shared" si="1"/>
        <v>0.13747019999999999</v>
      </c>
      <c r="D53">
        <v>-52.153059671760801</v>
      </c>
    </row>
    <row r="54" spans="1:4" x14ac:dyDescent="0.2">
      <c r="A54">
        <v>53</v>
      </c>
      <c r="B54">
        <f t="shared" si="2"/>
        <v>0.39464299999999997</v>
      </c>
      <c r="C54">
        <f t="shared" si="1"/>
        <v>0.13812504999999997</v>
      </c>
      <c r="D54">
        <v>-52.347156640489104</v>
      </c>
    </row>
    <row r="55" spans="1:4" x14ac:dyDescent="0.2">
      <c r="A55">
        <v>54</v>
      </c>
      <c r="B55">
        <f t="shared" si="2"/>
        <v>0.39651399999999998</v>
      </c>
      <c r="C55">
        <f t="shared" si="1"/>
        <v>0.13877989999999998</v>
      </c>
      <c r="D55">
        <v>-52.541253609217399</v>
      </c>
    </row>
    <row r="56" spans="1:4" x14ac:dyDescent="0.2">
      <c r="A56">
        <v>55</v>
      </c>
      <c r="B56">
        <f t="shared" si="2"/>
        <v>0.39838499999999999</v>
      </c>
      <c r="C56">
        <f t="shared" si="1"/>
        <v>0.13943475</v>
      </c>
      <c r="D56">
        <v>-52.735350577945702</v>
      </c>
    </row>
    <row r="57" spans="1:4" x14ac:dyDescent="0.2">
      <c r="A57">
        <v>56</v>
      </c>
      <c r="B57">
        <f t="shared" si="2"/>
        <v>0.400256</v>
      </c>
      <c r="C57">
        <f t="shared" si="1"/>
        <v>0.14008959999999998</v>
      </c>
      <c r="D57">
        <v>-52.929447546673998</v>
      </c>
    </row>
    <row r="58" spans="1:4" x14ac:dyDescent="0.2">
      <c r="A58">
        <v>57</v>
      </c>
      <c r="B58">
        <f t="shared" si="2"/>
        <v>0.40212700000000001</v>
      </c>
      <c r="C58">
        <f t="shared" si="1"/>
        <v>0.14074444999999999</v>
      </c>
      <c r="D58">
        <v>-53.123544515402301</v>
      </c>
    </row>
    <row r="59" spans="1:4" x14ac:dyDescent="0.2">
      <c r="A59">
        <v>58</v>
      </c>
      <c r="B59">
        <f t="shared" si="2"/>
        <v>0.40399799999999997</v>
      </c>
      <c r="C59">
        <f t="shared" si="1"/>
        <v>0.14139929999999998</v>
      </c>
      <c r="D59">
        <v>-53.317641484130597</v>
      </c>
    </row>
    <row r="60" spans="1:4" x14ac:dyDescent="0.2">
      <c r="A60">
        <v>59</v>
      </c>
      <c r="B60">
        <f t="shared" si="2"/>
        <v>0.40586899999999998</v>
      </c>
      <c r="C60">
        <f t="shared" si="1"/>
        <v>0.14205414999999999</v>
      </c>
      <c r="D60">
        <v>-53.5117384528589</v>
      </c>
    </row>
    <row r="61" spans="1:4" x14ac:dyDescent="0.2">
      <c r="A61">
        <v>60</v>
      </c>
      <c r="B61">
        <v>0.40773999999999999</v>
      </c>
      <c r="C61">
        <f t="shared" si="1"/>
        <v>0.14270899999999997</v>
      </c>
      <c r="D61">
        <v>-53.705835421587203</v>
      </c>
    </row>
    <row r="62" spans="1:4" x14ac:dyDescent="0.2">
      <c r="A62">
        <v>61</v>
      </c>
      <c r="B62">
        <f t="shared" ref="B62:B100" si="3">((($B$101-$B$61)/($A$101-$A$61)) *(A62-$A$61)) + $B$61</f>
        <v>0.40741749999999999</v>
      </c>
      <c r="C62">
        <f t="shared" si="1"/>
        <v>0.14259612499999999</v>
      </c>
      <c r="D62">
        <v>-53.546323004464703</v>
      </c>
    </row>
    <row r="63" spans="1:4" x14ac:dyDescent="0.2">
      <c r="A63">
        <v>62</v>
      </c>
      <c r="B63">
        <f t="shared" si="3"/>
        <v>0.40709499999999998</v>
      </c>
      <c r="C63">
        <f t="shared" si="1"/>
        <v>0.14248324999999998</v>
      </c>
      <c r="D63">
        <v>-53.386810587342097</v>
      </c>
    </row>
    <row r="64" spans="1:4" x14ac:dyDescent="0.2">
      <c r="A64">
        <v>63</v>
      </c>
      <c r="B64">
        <f t="shared" si="3"/>
        <v>0.40677249999999998</v>
      </c>
      <c r="C64">
        <f t="shared" si="1"/>
        <v>0.14237037499999999</v>
      </c>
      <c r="D64">
        <v>-53.227298170219498</v>
      </c>
    </row>
    <row r="65" spans="1:4" x14ac:dyDescent="0.2">
      <c r="A65">
        <v>64</v>
      </c>
      <c r="B65">
        <f t="shared" si="3"/>
        <v>0.40644999999999998</v>
      </c>
      <c r="C65">
        <f t="shared" si="1"/>
        <v>0.14225749999999998</v>
      </c>
      <c r="D65">
        <v>-53.067785753096999</v>
      </c>
    </row>
    <row r="66" spans="1:4" x14ac:dyDescent="0.2">
      <c r="A66">
        <v>65</v>
      </c>
      <c r="B66">
        <f t="shared" si="3"/>
        <v>0.40612749999999997</v>
      </c>
      <c r="C66">
        <f t="shared" si="1"/>
        <v>0.14214462499999997</v>
      </c>
      <c r="D66">
        <v>-52.9082733359744</v>
      </c>
    </row>
    <row r="67" spans="1:4" x14ac:dyDescent="0.2">
      <c r="A67">
        <v>66</v>
      </c>
      <c r="B67">
        <f t="shared" si="3"/>
        <v>0.40580499999999997</v>
      </c>
      <c r="C67">
        <f t="shared" ref="C67:C130" si="4">B67*0.35</f>
        <v>0.14203174999999998</v>
      </c>
      <c r="D67">
        <v>-52.748760918851801</v>
      </c>
    </row>
    <row r="68" spans="1:4" x14ac:dyDescent="0.2">
      <c r="A68">
        <v>67</v>
      </c>
      <c r="B68">
        <f t="shared" si="3"/>
        <v>0.40548250000000002</v>
      </c>
      <c r="C68">
        <f t="shared" si="4"/>
        <v>0.141918875</v>
      </c>
      <c r="D68">
        <v>-52.589248501729202</v>
      </c>
    </row>
    <row r="69" spans="1:4" x14ac:dyDescent="0.2">
      <c r="A69">
        <v>68</v>
      </c>
      <c r="B69">
        <f t="shared" si="3"/>
        <v>0.40516000000000002</v>
      </c>
      <c r="C69">
        <f t="shared" si="4"/>
        <v>0.14180599999999999</v>
      </c>
      <c r="D69">
        <v>-52.429736084606702</v>
      </c>
    </row>
    <row r="70" spans="1:4" x14ac:dyDescent="0.2">
      <c r="A70">
        <v>69</v>
      </c>
      <c r="B70">
        <f t="shared" si="3"/>
        <v>0.40483750000000002</v>
      </c>
      <c r="C70">
        <f t="shared" si="4"/>
        <v>0.141693125</v>
      </c>
      <c r="D70">
        <v>-52.270223667484103</v>
      </c>
    </row>
    <row r="71" spans="1:4" x14ac:dyDescent="0.2">
      <c r="A71">
        <v>70</v>
      </c>
      <c r="B71">
        <f t="shared" si="3"/>
        <v>0.40451500000000001</v>
      </c>
      <c r="C71">
        <f t="shared" si="4"/>
        <v>0.14158024999999999</v>
      </c>
      <c r="D71">
        <v>-52.110711250361497</v>
      </c>
    </row>
    <row r="72" spans="1:4" x14ac:dyDescent="0.2">
      <c r="A72">
        <v>71</v>
      </c>
      <c r="B72">
        <f t="shared" si="3"/>
        <v>0.40419250000000001</v>
      </c>
      <c r="C72">
        <f t="shared" si="4"/>
        <v>0.14146737500000001</v>
      </c>
      <c r="D72">
        <v>-51.951198833238998</v>
      </c>
    </row>
    <row r="73" spans="1:4" x14ac:dyDescent="0.2">
      <c r="A73">
        <v>72</v>
      </c>
      <c r="B73">
        <f t="shared" si="3"/>
        <v>0.40387000000000001</v>
      </c>
      <c r="C73">
        <f t="shared" si="4"/>
        <v>0.14135449999999999</v>
      </c>
      <c r="D73">
        <v>-51.791686416116399</v>
      </c>
    </row>
    <row r="74" spans="1:4" x14ac:dyDescent="0.2">
      <c r="A74">
        <v>73</v>
      </c>
      <c r="B74">
        <f t="shared" si="3"/>
        <v>0.4035475</v>
      </c>
      <c r="C74">
        <f t="shared" si="4"/>
        <v>0.14124162499999998</v>
      </c>
      <c r="D74">
        <v>-51.6321739989938</v>
      </c>
    </row>
    <row r="75" spans="1:4" x14ac:dyDescent="0.2">
      <c r="A75">
        <v>74</v>
      </c>
      <c r="B75">
        <f t="shared" si="3"/>
        <v>0.403225</v>
      </c>
      <c r="C75">
        <f t="shared" si="4"/>
        <v>0.14112875</v>
      </c>
      <c r="D75">
        <v>-51.4726615818713</v>
      </c>
    </row>
    <row r="76" spans="1:4" x14ac:dyDescent="0.2">
      <c r="A76">
        <v>75</v>
      </c>
      <c r="B76">
        <f t="shared" si="3"/>
        <v>0.4029025</v>
      </c>
      <c r="C76">
        <f t="shared" si="4"/>
        <v>0.14101587499999998</v>
      </c>
      <c r="D76">
        <v>-51.313149164748701</v>
      </c>
    </row>
    <row r="77" spans="1:4" x14ac:dyDescent="0.2">
      <c r="A77">
        <v>76</v>
      </c>
      <c r="B77">
        <f t="shared" si="3"/>
        <v>0.40257999999999999</v>
      </c>
      <c r="C77">
        <f t="shared" si="4"/>
        <v>0.140903</v>
      </c>
      <c r="D77">
        <v>-51.153636747626102</v>
      </c>
    </row>
    <row r="78" spans="1:4" x14ac:dyDescent="0.2">
      <c r="A78">
        <v>77</v>
      </c>
      <c r="B78">
        <f t="shared" si="3"/>
        <v>0.40225749999999999</v>
      </c>
      <c r="C78">
        <f t="shared" si="4"/>
        <v>0.14079012499999999</v>
      </c>
      <c r="D78">
        <v>-50.994124330503503</v>
      </c>
    </row>
    <row r="79" spans="1:4" x14ac:dyDescent="0.2">
      <c r="A79">
        <v>78</v>
      </c>
      <c r="B79">
        <f t="shared" si="3"/>
        <v>0.40193499999999999</v>
      </c>
      <c r="C79">
        <f t="shared" si="4"/>
        <v>0.14067724999999998</v>
      </c>
      <c r="D79">
        <v>-50.834611913381003</v>
      </c>
    </row>
    <row r="80" spans="1:4" x14ac:dyDescent="0.2">
      <c r="A80">
        <v>79</v>
      </c>
      <c r="B80">
        <f t="shared" si="3"/>
        <v>0.40161249999999998</v>
      </c>
      <c r="C80">
        <f t="shared" si="4"/>
        <v>0.14056437499999999</v>
      </c>
      <c r="D80">
        <v>-50.675099496258397</v>
      </c>
    </row>
    <row r="81" spans="1:4" x14ac:dyDescent="0.2">
      <c r="A81">
        <v>80</v>
      </c>
      <c r="B81">
        <f t="shared" si="3"/>
        <v>0.40129000000000004</v>
      </c>
      <c r="C81">
        <f t="shared" si="4"/>
        <v>0.14045150000000001</v>
      </c>
      <c r="D81">
        <v>-50.515587079135798</v>
      </c>
    </row>
    <row r="82" spans="1:4" x14ac:dyDescent="0.2">
      <c r="A82">
        <v>81</v>
      </c>
      <c r="B82">
        <f t="shared" si="3"/>
        <v>0.40096750000000003</v>
      </c>
      <c r="C82">
        <f t="shared" si="4"/>
        <v>0.14033862499999999</v>
      </c>
      <c r="D82">
        <v>-50.356074662013299</v>
      </c>
    </row>
    <row r="83" spans="1:4" x14ac:dyDescent="0.2">
      <c r="A83">
        <v>82</v>
      </c>
      <c r="B83">
        <f t="shared" si="3"/>
        <v>0.40064500000000003</v>
      </c>
      <c r="C83">
        <f t="shared" si="4"/>
        <v>0.14022575000000001</v>
      </c>
      <c r="D83">
        <v>-50.1965622448907</v>
      </c>
    </row>
    <row r="84" spans="1:4" x14ac:dyDescent="0.2">
      <c r="A84">
        <v>83</v>
      </c>
      <c r="B84">
        <f t="shared" si="3"/>
        <v>0.40032250000000003</v>
      </c>
      <c r="C84">
        <f t="shared" si="4"/>
        <v>0.140112875</v>
      </c>
      <c r="D84">
        <v>-50.037049827768101</v>
      </c>
    </row>
    <row r="85" spans="1:4" x14ac:dyDescent="0.2">
      <c r="A85">
        <v>84</v>
      </c>
      <c r="B85">
        <f t="shared" si="3"/>
        <v>0.4</v>
      </c>
      <c r="C85">
        <f t="shared" si="4"/>
        <v>0.13999999999999999</v>
      </c>
      <c r="D85">
        <v>-49.877537410645502</v>
      </c>
    </row>
    <row r="86" spans="1:4" x14ac:dyDescent="0.2">
      <c r="A86">
        <v>85</v>
      </c>
      <c r="B86">
        <f t="shared" si="3"/>
        <v>0.39967750000000002</v>
      </c>
      <c r="C86">
        <f t="shared" si="4"/>
        <v>0.139887125</v>
      </c>
      <c r="D86">
        <v>-49.718024993523002</v>
      </c>
    </row>
    <row r="87" spans="1:4" x14ac:dyDescent="0.2">
      <c r="A87">
        <v>86</v>
      </c>
      <c r="B87">
        <f t="shared" si="3"/>
        <v>0.39935500000000002</v>
      </c>
      <c r="C87">
        <f t="shared" si="4"/>
        <v>0.13977424999999999</v>
      </c>
      <c r="D87">
        <v>-49.558512576400403</v>
      </c>
    </row>
    <row r="88" spans="1:4" x14ac:dyDescent="0.2">
      <c r="A88">
        <v>87</v>
      </c>
      <c r="B88">
        <f t="shared" si="3"/>
        <v>0.39903250000000001</v>
      </c>
      <c r="C88">
        <f t="shared" si="4"/>
        <v>0.139661375</v>
      </c>
      <c r="D88">
        <v>-49.399000159277797</v>
      </c>
    </row>
    <row r="89" spans="1:4" x14ac:dyDescent="0.2">
      <c r="A89">
        <v>88</v>
      </c>
      <c r="B89">
        <f t="shared" si="3"/>
        <v>0.39871000000000001</v>
      </c>
      <c r="C89">
        <f t="shared" si="4"/>
        <v>0.13954849999999999</v>
      </c>
      <c r="D89">
        <v>-49.239487742155298</v>
      </c>
    </row>
    <row r="90" spans="1:4" x14ac:dyDescent="0.2">
      <c r="A90">
        <v>89</v>
      </c>
      <c r="B90">
        <f t="shared" si="3"/>
        <v>0.39838750000000001</v>
      </c>
      <c r="C90">
        <f t="shared" si="4"/>
        <v>0.13943562499999998</v>
      </c>
      <c r="D90">
        <v>-49.079975325032699</v>
      </c>
    </row>
    <row r="91" spans="1:4" x14ac:dyDescent="0.2">
      <c r="A91">
        <v>90</v>
      </c>
      <c r="B91">
        <f t="shared" si="3"/>
        <v>0.398065</v>
      </c>
      <c r="C91">
        <f t="shared" si="4"/>
        <v>0.13932275</v>
      </c>
      <c r="D91">
        <v>-48.9204629079101</v>
      </c>
    </row>
    <row r="92" spans="1:4" x14ac:dyDescent="0.2">
      <c r="A92">
        <v>91</v>
      </c>
      <c r="B92">
        <f t="shared" si="3"/>
        <v>0.3977425</v>
      </c>
      <c r="C92">
        <f t="shared" si="4"/>
        <v>0.13920987499999998</v>
      </c>
      <c r="D92">
        <v>-48.760950490787501</v>
      </c>
    </row>
    <row r="93" spans="1:4" x14ac:dyDescent="0.2">
      <c r="A93">
        <v>92</v>
      </c>
      <c r="B93">
        <f t="shared" si="3"/>
        <v>0.39742</v>
      </c>
      <c r="C93">
        <f t="shared" si="4"/>
        <v>0.139097</v>
      </c>
      <c r="D93">
        <v>-48.601438073665001</v>
      </c>
    </row>
    <row r="94" spans="1:4" x14ac:dyDescent="0.2">
      <c r="A94">
        <v>93</v>
      </c>
      <c r="B94">
        <f t="shared" si="3"/>
        <v>0.39709749999999999</v>
      </c>
      <c r="C94">
        <f t="shared" si="4"/>
        <v>0.13898412499999999</v>
      </c>
      <c r="D94">
        <v>-48.441925656542402</v>
      </c>
    </row>
    <row r="95" spans="1:4" x14ac:dyDescent="0.2">
      <c r="A95">
        <v>94</v>
      </c>
      <c r="B95">
        <f t="shared" si="3"/>
        <v>0.39677500000000004</v>
      </c>
      <c r="C95">
        <f t="shared" si="4"/>
        <v>0.13887125</v>
      </c>
      <c r="D95">
        <v>-48.282413239419803</v>
      </c>
    </row>
    <row r="96" spans="1:4" x14ac:dyDescent="0.2">
      <c r="A96">
        <v>95</v>
      </c>
      <c r="B96">
        <f t="shared" si="3"/>
        <v>0.39645250000000004</v>
      </c>
      <c r="C96">
        <f t="shared" si="4"/>
        <v>0.13875837500000002</v>
      </c>
      <c r="D96">
        <v>-48.122900822297296</v>
      </c>
    </row>
    <row r="97" spans="1:6" x14ac:dyDescent="0.2">
      <c r="A97">
        <v>96</v>
      </c>
      <c r="B97">
        <f t="shared" si="3"/>
        <v>0.39613000000000004</v>
      </c>
      <c r="C97">
        <f t="shared" si="4"/>
        <v>0.1386455</v>
      </c>
      <c r="D97">
        <v>-47.963388405174697</v>
      </c>
    </row>
    <row r="98" spans="1:6" x14ac:dyDescent="0.2">
      <c r="A98">
        <v>97</v>
      </c>
      <c r="B98">
        <f t="shared" si="3"/>
        <v>0.39580750000000003</v>
      </c>
      <c r="C98">
        <f t="shared" si="4"/>
        <v>0.13853262499999999</v>
      </c>
      <c r="D98">
        <v>-47.803875988052098</v>
      </c>
    </row>
    <row r="99" spans="1:6" x14ac:dyDescent="0.2">
      <c r="A99">
        <v>98</v>
      </c>
      <c r="B99">
        <f t="shared" si="3"/>
        <v>0.39548500000000003</v>
      </c>
      <c r="C99">
        <f t="shared" si="4"/>
        <v>0.13841975000000001</v>
      </c>
      <c r="D99">
        <v>-47.644363570929499</v>
      </c>
      <c r="F99" t="s">
        <v>10</v>
      </c>
    </row>
    <row r="100" spans="1:6" x14ac:dyDescent="0.2">
      <c r="A100">
        <v>99</v>
      </c>
      <c r="B100">
        <f t="shared" si="3"/>
        <v>0.39516250000000003</v>
      </c>
      <c r="C100">
        <f t="shared" si="4"/>
        <v>0.138306875</v>
      </c>
      <c r="D100">
        <v>-47.484851153807</v>
      </c>
      <c r="F100">
        <f>((($B$101-$B$61)/($A$101-$A$61)))</f>
        <v>-3.2249999999999917E-4</v>
      </c>
    </row>
    <row r="101" spans="1:6" x14ac:dyDescent="0.2">
      <c r="A101">
        <v>100</v>
      </c>
      <c r="B101">
        <v>0.39484000000000002</v>
      </c>
      <c r="C101">
        <f t="shared" si="4"/>
        <v>0.13819400000000001</v>
      </c>
      <c r="D101">
        <v>-47.325338736684401</v>
      </c>
    </row>
    <row r="102" spans="1:6" x14ac:dyDescent="0.2">
      <c r="A102">
        <v>101</v>
      </c>
      <c r="B102">
        <f>B101+$F$100</f>
        <v>0.39451750000000002</v>
      </c>
      <c r="C102">
        <f t="shared" si="4"/>
        <v>0.138081125</v>
      </c>
      <c r="D102">
        <v>-47.207389572735799</v>
      </c>
    </row>
    <row r="103" spans="1:6" x14ac:dyDescent="0.2">
      <c r="A103">
        <v>102</v>
      </c>
      <c r="B103">
        <f t="shared" ref="B103:B151" si="5">B102+$F$100</f>
        <v>0.39419500000000002</v>
      </c>
      <c r="C103">
        <f t="shared" si="4"/>
        <v>0.13796824999999999</v>
      </c>
      <c r="D103">
        <v>-47.089440408787297</v>
      </c>
    </row>
    <row r="104" spans="1:6" x14ac:dyDescent="0.2">
      <c r="A104">
        <v>103</v>
      </c>
      <c r="B104">
        <f t="shared" si="5"/>
        <v>0.39387250000000001</v>
      </c>
      <c r="C104">
        <f t="shared" si="4"/>
        <v>0.137855375</v>
      </c>
      <c r="D104">
        <v>-46.971491244838703</v>
      </c>
    </row>
    <row r="105" spans="1:6" x14ac:dyDescent="0.2">
      <c r="A105">
        <v>104</v>
      </c>
      <c r="B105">
        <f t="shared" si="5"/>
        <v>0.39355000000000001</v>
      </c>
      <c r="C105">
        <f t="shared" si="4"/>
        <v>0.13774249999999999</v>
      </c>
      <c r="D105">
        <v>-46.853542080890101</v>
      </c>
    </row>
    <row r="106" spans="1:6" x14ac:dyDescent="0.2">
      <c r="A106">
        <v>105</v>
      </c>
      <c r="B106">
        <f t="shared" si="5"/>
        <v>0.39322750000000001</v>
      </c>
      <c r="C106">
        <f t="shared" si="4"/>
        <v>0.13762962500000001</v>
      </c>
      <c r="D106">
        <v>-46.735592916941499</v>
      </c>
    </row>
    <row r="107" spans="1:6" x14ac:dyDescent="0.2">
      <c r="A107">
        <v>106</v>
      </c>
      <c r="B107">
        <f t="shared" si="5"/>
        <v>0.392905</v>
      </c>
      <c r="C107">
        <f t="shared" si="4"/>
        <v>0.13751674999999999</v>
      </c>
      <c r="D107">
        <v>-46.617643752992997</v>
      </c>
    </row>
    <row r="108" spans="1:6" x14ac:dyDescent="0.2">
      <c r="A108">
        <v>107</v>
      </c>
      <c r="B108">
        <f t="shared" si="5"/>
        <v>0.3925825</v>
      </c>
      <c r="C108">
        <f t="shared" si="4"/>
        <v>0.13740387499999998</v>
      </c>
      <c r="D108">
        <v>-46.499694589044402</v>
      </c>
    </row>
    <row r="109" spans="1:6" x14ac:dyDescent="0.2">
      <c r="A109">
        <v>108</v>
      </c>
      <c r="B109">
        <f t="shared" si="5"/>
        <v>0.39226</v>
      </c>
      <c r="C109">
        <f t="shared" si="4"/>
        <v>0.137291</v>
      </c>
      <c r="D109">
        <v>-46.381745425095801</v>
      </c>
    </row>
    <row r="110" spans="1:6" x14ac:dyDescent="0.2">
      <c r="A110">
        <v>109</v>
      </c>
      <c r="B110">
        <f t="shared" si="5"/>
        <v>0.39193749999999999</v>
      </c>
      <c r="C110">
        <f t="shared" si="4"/>
        <v>0.13717812499999998</v>
      </c>
      <c r="D110">
        <v>-46.263796261147299</v>
      </c>
    </row>
    <row r="111" spans="1:6" x14ac:dyDescent="0.2">
      <c r="A111">
        <v>110</v>
      </c>
      <c r="B111">
        <f t="shared" si="5"/>
        <v>0.39161499999999999</v>
      </c>
      <c r="C111">
        <f t="shared" si="4"/>
        <v>0.13706525</v>
      </c>
      <c r="D111">
        <v>-46.145847097198697</v>
      </c>
    </row>
    <row r="112" spans="1:6" x14ac:dyDescent="0.2">
      <c r="A112">
        <v>111</v>
      </c>
      <c r="B112">
        <f t="shared" si="5"/>
        <v>0.39129249999999999</v>
      </c>
      <c r="C112">
        <f t="shared" si="4"/>
        <v>0.13695237499999999</v>
      </c>
      <c r="D112">
        <v>-46.027897933250102</v>
      </c>
    </row>
    <row r="113" spans="1:4" x14ac:dyDescent="0.2">
      <c r="A113">
        <v>112</v>
      </c>
      <c r="B113">
        <f t="shared" si="5"/>
        <v>0.39096999999999998</v>
      </c>
      <c r="C113">
        <f t="shared" si="4"/>
        <v>0.13683949999999998</v>
      </c>
      <c r="D113">
        <v>-45.909948769301501</v>
      </c>
    </row>
    <row r="114" spans="1:4" x14ac:dyDescent="0.2">
      <c r="A114">
        <v>113</v>
      </c>
      <c r="B114">
        <f t="shared" si="5"/>
        <v>0.39064749999999998</v>
      </c>
      <c r="C114">
        <f t="shared" si="4"/>
        <v>0.13672662499999999</v>
      </c>
      <c r="D114">
        <v>-45.791999605352999</v>
      </c>
    </row>
    <row r="115" spans="1:4" x14ac:dyDescent="0.2">
      <c r="A115">
        <v>114</v>
      </c>
      <c r="B115">
        <f t="shared" si="5"/>
        <v>0.39032499999999998</v>
      </c>
      <c r="C115">
        <f t="shared" si="4"/>
        <v>0.13661374999999998</v>
      </c>
      <c r="D115">
        <v>-45.674050441404397</v>
      </c>
    </row>
    <row r="116" spans="1:4" x14ac:dyDescent="0.2">
      <c r="A116">
        <v>115</v>
      </c>
      <c r="B116">
        <f t="shared" si="5"/>
        <v>0.39000249999999997</v>
      </c>
      <c r="C116">
        <f t="shared" si="4"/>
        <v>0.13650087499999999</v>
      </c>
      <c r="D116">
        <v>-45.556101277455802</v>
      </c>
    </row>
    <row r="117" spans="1:4" x14ac:dyDescent="0.2">
      <c r="A117">
        <v>116</v>
      </c>
      <c r="B117">
        <f t="shared" si="5"/>
        <v>0.38967999999999997</v>
      </c>
      <c r="C117">
        <f t="shared" si="4"/>
        <v>0.13638799999999998</v>
      </c>
      <c r="D117">
        <v>-45.4381521135073</v>
      </c>
    </row>
    <row r="118" spans="1:4" x14ac:dyDescent="0.2">
      <c r="A118">
        <v>117</v>
      </c>
      <c r="B118">
        <f t="shared" si="5"/>
        <v>0.38935749999999997</v>
      </c>
      <c r="C118">
        <f t="shared" si="4"/>
        <v>0.13627512499999997</v>
      </c>
      <c r="D118">
        <v>-45.320202949558698</v>
      </c>
    </row>
    <row r="119" spans="1:4" x14ac:dyDescent="0.2">
      <c r="A119">
        <v>118</v>
      </c>
      <c r="B119">
        <f t="shared" si="5"/>
        <v>0.38903499999999996</v>
      </c>
      <c r="C119">
        <f t="shared" si="4"/>
        <v>0.13616224999999998</v>
      </c>
      <c r="D119">
        <v>-45.202253785610097</v>
      </c>
    </row>
    <row r="120" spans="1:4" x14ac:dyDescent="0.2">
      <c r="A120">
        <v>119</v>
      </c>
      <c r="B120">
        <f t="shared" si="5"/>
        <v>0.38871249999999996</v>
      </c>
      <c r="C120">
        <f t="shared" si="4"/>
        <v>0.13604937499999997</v>
      </c>
      <c r="D120">
        <v>-45.084304621661502</v>
      </c>
    </row>
    <row r="121" spans="1:4" x14ac:dyDescent="0.2">
      <c r="A121">
        <v>120</v>
      </c>
      <c r="B121">
        <f t="shared" si="5"/>
        <v>0.38838999999999996</v>
      </c>
      <c r="C121">
        <f t="shared" si="4"/>
        <v>0.13593649999999999</v>
      </c>
      <c r="D121">
        <v>-44.966355457713</v>
      </c>
    </row>
    <row r="122" spans="1:4" x14ac:dyDescent="0.2">
      <c r="A122">
        <v>121</v>
      </c>
      <c r="B122">
        <f t="shared" si="5"/>
        <v>0.38806749999999995</v>
      </c>
      <c r="C122">
        <f t="shared" si="4"/>
        <v>0.13582362499999998</v>
      </c>
      <c r="D122">
        <v>-44.848406293764398</v>
      </c>
    </row>
    <row r="123" spans="1:4" x14ac:dyDescent="0.2">
      <c r="A123">
        <v>122</v>
      </c>
      <c r="B123">
        <f t="shared" si="5"/>
        <v>0.38774499999999995</v>
      </c>
      <c r="C123">
        <f t="shared" si="4"/>
        <v>0.13571074999999996</v>
      </c>
      <c r="D123">
        <v>-44.730457129815797</v>
      </c>
    </row>
    <row r="124" spans="1:4" x14ac:dyDescent="0.2">
      <c r="A124">
        <v>123</v>
      </c>
      <c r="B124">
        <f t="shared" si="5"/>
        <v>0.38742249999999995</v>
      </c>
      <c r="C124">
        <f t="shared" si="4"/>
        <v>0.13559787499999998</v>
      </c>
      <c r="D124">
        <v>-44.612507965867302</v>
      </c>
    </row>
    <row r="125" spans="1:4" x14ac:dyDescent="0.2">
      <c r="A125">
        <v>124</v>
      </c>
      <c r="B125">
        <f t="shared" si="5"/>
        <v>0.38709999999999994</v>
      </c>
      <c r="C125">
        <f t="shared" si="4"/>
        <v>0.13548499999999997</v>
      </c>
      <c r="D125">
        <v>-44.4945588019187</v>
      </c>
    </row>
    <row r="126" spans="1:4" x14ac:dyDescent="0.2">
      <c r="A126">
        <v>125</v>
      </c>
      <c r="B126">
        <f t="shared" si="5"/>
        <v>0.38677749999999994</v>
      </c>
      <c r="C126">
        <f t="shared" si="4"/>
        <v>0.13537212499999998</v>
      </c>
      <c r="D126">
        <v>-44.376609637970098</v>
      </c>
    </row>
    <row r="127" spans="1:4" x14ac:dyDescent="0.2">
      <c r="A127">
        <v>126</v>
      </c>
      <c r="B127">
        <f t="shared" si="5"/>
        <v>0.38645499999999994</v>
      </c>
      <c r="C127">
        <f t="shared" si="4"/>
        <v>0.13525924999999997</v>
      </c>
      <c r="D127">
        <v>-44.258660474021497</v>
      </c>
    </row>
    <row r="128" spans="1:4" x14ac:dyDescent="0.2">
      <c r="A128">
        <v>127</v>
      </c>
      <c r="B128">
        <f t="shared" si="5"/>
        <v>0.38613249999999993</v>
      </c>
      <c r="C128">
        <f t="shared" si="4"/>
        <v>0.13514637499999996</v>
      </c>
      <c r="D128">
        <v>-44.140711310073002</v>
      </c>
    </row>
    <row r="129" spans="1:4" x14ac:dyDescent="0.2">
      <c r="A129">
        <v>128</v>
      </c>
      <c r="B129">
        <f t="shared" si="5"/>
        <v>0.38580999999999993</v>
      </c>
      <c r="C129">
        <f t="shared" si="4"/>
        <v>0.13503349999999997</v>
      </c>
      <c r="D129">
        <v>-44.0227621461244</v>
      </c>
    </row>
    <row r="130" spans="1:4" x14ac:dyDescent="0.2">
      <c r="A130">
        <v>129</v>
      </c>
      <c r="B130">
        <f t="shared" si="5"/>
        <v>0.38548749999999993</v>
      </c>
      <c r="C130">
        <f t="shared" si="4"/>
        <v>0.13492062499999996</v>
      </c>
      <c r="D130">
        <v>-43.904812982175798</v>
      </c>
    </row>
    <row r="131" spans="1:4" x14ac:dyDescent="0.2">
      <c r="A131">
        <v>130</v>
      </c>
      <c r="B131">
        <f t="shared" si="5"/>
        <v>0.38516499999999992</v>
      </c>
      <c r="C131">
        <f t="shared" ref="C131:C151" si="6">B131*0.35</f>
        <v>0.13480774999999998</v>
      </c>
      <c r="D131">
        <v>-43.786863818227197</v>
      </c>
    </row>
    <row r="132" spans="1:4" x14ac:dyDescent="0.2">
      <c r="A132">
        <v>131</v>
      </c>
      <c r="B132">
        <f t="shared" si="5"/>
        <v>0.38484249999999992</v>
      </c>
      <c r="C132">
        <f t="shared" si="6"/>
        <v>0.13469487499999996</v>
      </c>
      <c r="D132">
        <v>-43.668914654278701</v>
      </c>
    </row>
    <row r="133" spans="1:4" x14ac:dyDescent="0.2">
      <c r="A133">
        <v>132</v>
      </c>
      <c r="B133">
        <f t="shared" si="5"/>
        <v>0.38451999999999992</v>
      </c>
      <c r="C133">
        <f t="shared" si="6"/>
        <v>0.13458199999999995</v>
      </c>
      <c r="D133">
        <v>-43.5509654903301</v>
      </c>
    </row>
    <row r="134" spans="1:4" x14ac:dyDescent="0.2">
      <c r="A134">
        <v>133</v>
      </c>
      <c r="B134">
        <f t="shared" si="5"/>
        <v>0.38419749999999991</v>
      </c>
      <c r="C134">
        <f t="shared" si="6"/>
        <v>0.13446912499999997</v>
      </c>
      <c r="D134">
        <v>-43.433016326381498</v>
      </c>
    </row>
    <row r="135" spans="1:4" x14ac:dyDescent="0.2">
      <c r="A135">
        <v>134</v>
      </c>
      <c r="B135">
        <f t="shared" si="5"/>
        <v>0.38387499999999991</v>
      </c>
      <c r="C135">
        <f t="shared" si="6"/>
        <v>0.13435624999999995</v>
      </c>
      <c r="D135">
        <v>-43.315067162433003</v>
      </c>
    </row>
    <row r="136" spans="1:4" x14ac:dyDescent="0.2">
      <c r="A136">
        <v>135</v>
      </c>
      <c r="B136">
        <f t="shared" si="5"/>
        <v>0.38355249999999991</v>
      </c>
      <c r="C136">
        <f t="shared" si="6"/>
        <v>0.13424337499999997</v>
      </c>
      <c r="D136">
        <v>-43.197117998484401</v>
      </c>
    </row>
    <row r="137" spans="1:4" x14ac:dyDescent="0.2">
      <c r="A137">
        <v>136</v>
      </c>
      <c r="B137">
        <f t="shared" si="5"/>
        <v>0.3832299999999999</v>
      </c>
      <c r="C137">
        <f t="shared" si="6"/>
        <v>0.13413049999999996</v>
      </c>
      <c r="D137">
        <v>-43.0791688345358</v>
      </c>
    </row>
    <row r="138" spans="1:4" x14ac:dyDescent="0.2">
      <c r="A138">
        <v>137</v>
      </c>
      <c r="B138">
        <f t="shared" si="5"/>
        <v>0.3829074999999999</v>
      </c>
      <c r="C138">
        <f t="shared" si="6"/>
        <v>0.13401762499999995</v>
      </c>
      <c r="D138">
        <v>-42.961219670587198</v>
      </c>
    </row>
    <row r="139" spans="1:4" x14ac:dyDescent="0.2">
      <c r="A139">
        <v>138</v>
      </c>
      <c r="B139">
        <f t="shared" si="5"/>
        <v>0.3825849999999999</v>
      </c>
      <c r="C139">
        <f t="shared" si="6"/>
        <v>0.13390474999999996</v>
      </c>
      <c r="D139">
        <v>-42.843270506638703</v>
      </c>
    </row>
    <row r="140" spans="1:4" x14ac:dyDescent="0.2">
      <c r="A140">
        <v>139</v>
      </c>
      <c r="B140">
        <f t="shared" si="5"/>
        <v>0.38226249999999989</v>
      </c>
      <c r="C140">
        <f t="shared" si="6"/>
        <v>0.13379187499999995</v>
      </c>
      <c r="D140">
        <v>-42.725321342690101</v>
      </c>
    </row>
    <row r="141" spans="1:4" x14ac:dyDescent="0.2">
      <c r="A141">
        <v>140</v>
      </c>
      <c r="B141">
        <f t="shared" si="5"/>
        <v>0.38193999999999989</v>
      </c>
      <c r="C141">
        <f t="shared" si="6"/>
        <v>0.13367899999999996</v>
      </c>
      <c r="D141">
        <v>-42.6073721787415</v>
      </c>
    </row>
    <row r="142" spans="1:4" x14ac:dyDescent="0.2">
      <c r="A142">
        <v>141</v>
      </c>
      <c r="B142">
        <f t="shared" si="5"/>
        <v>0.38161749999999989</v>
      </c>
      <c r="C142">
        <f t="shared" si="6"/>
        <v>0.13356612499999995</v>
      </c>
      <c r="D142">
        <v>-42.489423014792997</v>
      </c>
    </row>
    <row r="143" spans="1:4" x14ac:dyDescent="0.2">
      <c r="A143">
        <v>142</v>
      </c>
      <c r="B143">
        <f t="shared" si="5"/>
        <v>0.38129499999999988</v>
      </c>
      <c r="C143">
        <f t="shared" si="6"/>
        <v>0.13345324999999994</v>
      </c>
      <c r="D143">
        <v>-42.371473850844403</v>
      </c>
    </row>
    <row r="144" spans="1:4" x14ac:dyDescent="0.2">
      <c r="A144">
        <v>143</v>
      </c>
      <c r="B144">
        <f t="shared" si="5"/>
        <v>0.38097249999999988</v>
      </c>
      <c r="C144">
        <f t="shared" si="6"/>
        <v>0.13334037499999996</v>
      </c>
      <c r="D144">
        <v>-42.253524686895801</v>
      </c>
    </row>
    <row r="145" spans="1:4" x14ac:dyDescent="0.2">
      <c r="A145">
        <v>144</v>
      </c>
      <c r="B145">
        <f t="shared" si="5"/>
        <v>0.38064999999999988</v>
      </c>
      <c r="C145">
        <f t="shared" si="6"/>
        <v>0.13322749999999994</v>
      </c>
      <c r="D145">
        <v>-42.1355755229472</v>
      </c>
    </row>
    <row r="146" spans="1:4" x14ac:dyDescent="0.2">
      <c r="A146">
        <v>145</v>
      </c>
      <c r="B146">
        <f t="shared" si="5"/>
        <v>0.38032749999999987</v>
      </c>
      <c r="C146">
        <f t="shared" si="6"/>
        <v>0.13311462499999996</v>
      </c>
      <c r="D146">
        <v>-42.017626358998697</v>
      </c>
    </row>
    <row r="147" spans="1:4" x14ac:dyDescent="0.2">
      <c r="A147">
        <v>146</v>
      </c>
      <c r="B147">
        <f t="shared" si="5"/>
        <v>0.38000499999999987</v>
      </c>
      <c r="C147">
        <f t="shared" si="6"/>
        <v>0.13300174999999995</v>
      </c>
      <c r="D147">
        <v>-41.899677195050103</v>
      </c>
    </row>
    <row r="148" spans="1:4" x14ac:dyDescent="0.2">
      <c r="A148">
        <v>147</v>
      </c>
      <c r="B148">
        <f t="shared" si="5"/>
        <v>0.37968249999999987</v>
      </c>
      <c r="C148">
        <f t="shared" si="6"/>
        <v>0.13288887499999993</v>
      </c>
      <c r="D148">
        <v>-41.781728031101501</v>
      </c>
    </row>
    <row r="149" spans="1:4" x14ac:dyDescent="0.2">
      <c r="A149">
        <v>148</v>
      </c>
      <c r="B149">
        <f t="shared" si="5"/>
        <v>0.37935999999999986</v>
      </c>
      <c r="C149">
        <f t="shared" si="6"/>
        <v>0.13277599999999995</v>
      </c>
      <c r="D149">
        <v>-41.663778867152999</v>
      </c>
    </row>
    <row r="150" spans="1:4" x14ac:dyDescent="0.2">
      <c r="A150">
        <v>149</v>
      </c>
      <c r="B150">
        <f t="shared" si="5"/>
        <v>0.37903749999999986</v>
      </c>
      <c r="C150">
        <f t="shared" si="6"/>
        <v>0.13266312499999994</v>
      </c>
      <c r="D150">
        <v>-41.545829703204397</v>
      </c>
    </row>
    <row r="151" spans="1:4" x14ac:dyDescent="0.2">
      <c r="A151">
        <v>150</v>
      </c>
      <c r="B151">
        <f t="shared" si="5"/>
        <v>0.37871499999999986</v>
      </c>
      <c r="C151">
        <f t="shared" si="6"/>
        <v>0.13255024999999995</v>
      </c>
      <c r="D151">
        <v>-41.427880539255803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151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9.83203125" bestFit="1" customWidth="1"/>
    <col min="2" max="2" width="10" bestFit="1" customWidth="1"/>
    <col min="3" max="3" width="13.33203125" bestFit="1" customWidth="1"/>
    <col min="4" max="4" width="14.5" customWidth="1"/>
    <col min="5" max="5" width="12.33203125" bestFit="1" customWidth="1"/>
    <col min="6" max="6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1" t="s">
        <v>8</v>
      </c>
      <c r="F1" s="1" t="s">
        <v>9</v>
      </c>
    </row>
    <row r="2" spans="1:6" x14ac:dyDescent="0.2">
      <c r="A2">
        <v>1</v>
      </c>
      <c r="B2">
        <f t="shared" ref="B2:B19" si="0">B3-$E$21</f>
        <v>0.29735099999999975</v>
      </c>
      <c r="C2">
        <f>B2*0.35</f>
        <v>0.10407284999999991</v>
      </c>
      <c r="E2" t="s">
        <v>4</v>
      </c>
      <c r="F2">
        <v>0.39484000000000002</v>
      </c>
    </row>
    <row r="3" spans="1:6" x14ac:dyDescent="0.2">
      <c r="A3">
        <v>2</v>
      </c>
      <c r="B3">
        <f t="shared" si="0"/>
        <v>0.29922199999999977</v>
      </c>
      <c r="C3">
        <f t="shared" ref="C3:C66" si="1">B3*0.35</f>
        <v>0.10472769999999991</v>
      </c>
      <c r="E3" t="s">
        <v>5</v>
      </c>
      <c r="F3">
        <v>0.33289999999999997</v>
      </c>
    </row>
    <row r="4" spans="1:6" x14ac:dyDescent="0.2">
      <c r="A4">
        <v>3</v>
      </c>
      <c r="B4">
        <f t="shared" si="0"/>
        <v>0.30109299999999978</v>
      </c>
      <c r="C4">
        <f t="shared" si="1"/>
        <v>0.10538254999999992</v>
      </c>
      <c r="E4" t="s">
        <v>6</v>
      </c>
      <c r="F4">
        <v>0.40773999999999999</v>
      </c>
    </row>
    <row r="5" spans="1:6" x14ac:dyDescent="0.2">
      <c r="A5">
        <v>4</v>
      </c>
      <c r="B5">
        <f t="shared" si="0"/>
        <v>0.30296399999999979</v>
      </c>
      <c r="C5">
        <f t="shared" si="1"/>
        <v>0.10603739999999992</v>
      </c>
      <c r="E5" t="s">
        <v>7</v>
      </c>
      <c r="F5">
        <v>0.34967999999999999</v>
      </c>
    </row>
    <row r="6" spans="1:6" x14ac:dyDescent="0.2">
      <c r="A6">
        <v>5</v>
      </c>
      <c r="B6">
        <f t="shared" si="0"/>
        <v>0.3048349999999998</v>
      </c>
      <c r="C6">
        <f t="shared" si="1"/>
        <v>0.10669224999999992</v>
      </c>
    </row>
    <row r="7" spans="1:6" x14ac:dyDescent="0.2">
      <c r="A7">
        <v>6</v>
      </c>
      <c r="B7">
        <f t="shared" si="0"/>
        <v>0.30670599999999981</v>
      </c>
      <c r="C7">
        <f t="shared" si="1"/>
        <v>0.10734709999999993</v>
      </c>
    </row>
    <row r="8" spans="1:6" x14ac:dyDescent="0.2">
      <c r="A8">
        <v>7</v>
      </c>
      <c r="B8">
        <f t="shared" si="0"/>
        <v>0.30857699999999982</v>
      </c>
      <c r="C8">
        <f t="shared" si="1"/>
        <v>0.10800194999999993</v>
      </c>
    </row>
    <row r="9" spans="1:6" x14ac:dyDescent="0.2">
      <c r="A9">
        <v>8</v>
      </c>
      <c r="B9">
        <f t="shared" si="0"/>
        <v>0.31044799999999984</v>
      </c>
      <c r="C9">
        <f t="shared" si="1"/>
        <v>0.10865679999999994</v>
      </c>
    </row>
    <row r="10" spans="1:6" x14ac:dyDescent="0.2">
      <c r="A10">
        <v>9</v>
      </c>
      <c r="B10">
        <f t="shared" si="0"/>
        <v>0.31231899999999985</v>
      </c>
      <c r="C10">
        <f t="shared" si="1"/>
        <v>0.10931164999999994</v>
      </c>
    </row>
    <row r="11" spans="1:6" x14ac:dyDescent="0.2">
      <c r="A11">
        <v>10</v>
      </c>
      <c r="B11">
        <f t="shared" si="0"/>
        <v>0.31418999999999986</v>
      </c>
      <c r="C11">
        <f t="shared" si="1"/>
        <v>0.10996649999999994</v>
      </c>
    </row>
    <row r="12" spans="1:6" x14ac:dyDescent="0.2">
      <c r="A12">
        <v>11</v>
      </c>
      <c r="B12">
        <f t="shared" si="0"/>
        <v>0.31606099999999987</v>
      </c>
      <c r="C12">
        <f t="shared" si="1"/>
        <v>0.11062134999999995</v>
      </c>
    </row>
    <row r="13" spans="1:6" x14ac:dyDescent="0.2">
      <c r="A13">
        <v>12</v>
      </c>
      <c r="B13">
        <f t="shared" si="0"/>
        <v>0.31793199999999988</v>
      </c>
      <c r="C13">
        <f t="shared" si="1"/>
        <v>0.11127619999999995</v>
      </c>
    </row>
    <row r="14" spans="1:6" x14ac:dyDescent="0.2">
      <c r="A14">
        <v>13</v>
      </c>
      <c r="B14">
        <f t="shared" si="0"/>
        <v>0.31980299999999989</v>
      </c>
      <c r="C14">
        <f t="shared" si="1"/>
        <v>0.11193104999999995</v>
      </c>
    </row>
    <row r="15" spans="1:6" x14ac:dyDescent="0.2">
      <c r="A15">
        <v>14</v>
      </c>
      <c r="B15">
        <f t="shared" si="0"/>
        <v>0.3216739999999999</v>
      </c>
      <c r="C15">
        <f t="shared" si="1"/>
        <v>0.11258589999999996</v>
      </c>
    </row>
    <row r="16" spans="1:6" x14ac:dyDescent="0.2">
      <c r="A16">
        <v>15</v>
      </c>
      <c r="B16">
        <f t="shared" si="0"/>
        <v>0.32354499999999992</v>
      </c>
      <c r="C16">
        <f t="shared" si="1"/>
        <v>0.11324074999999996</v>
      </c>
    </row>
    <row r="17" spans="1:5" x14ac:dyDescent="0.2">
      <c r="A17">
        <v>16</v>
      </c>
      <c r="B17">
        <f t="shared" si="0"/>
        <v>0.32541599999999993</v>
      </c>
      <c r="C17">
        <f t="shared" si="1"/>
        <v>0.11389559999999997</v>
      </c>
    </row>
    <row r="18" spans="1:5" x14ac:dyDescent="0.2">
      <c r="A18">
        <v>17</v>
      </c>
      <c r="B18">
        <f t="shared" si="0"/>
        <v>0.32728699999999994</v>
      </c>
      <c r="C18">
        <f t="shared" si="1"/>
        <v>0.11455044999999997</v>
      </c>
    </row>
    <row r="19" spans="1:5" x14ac:dyDescent="0.2">
      <c r="A19">
        <v>18</v>
      </c>
      <c r="B19">
        <f t="shared" si="0"/>
        <v>0.32915799999999995</v>
      </c>
      <c r="C19">
        <f t="shared" si="1"/>
        <v>0.11520529999999997</v>
      </c>
    </row>
    <row r="20" spans="1:5" x14ac:dyDescent="0.2">
      <c r="A20">
        <v>19</v>
      </c>
      <c r="B20">
        <f>B21-$E$21</f>
        <v>0.33102899999999996</v>
      </c>
      <c r="C20">
        <f t="shared" si="1"/>
        <v>0.11586014999999998</v>
      </c>
      <c r="E20" t="s">
        <v>10</v>
      </c>
    </row>
    <row r="21" spans="1:5" x14ac:dyDescent="0.2">
      <c r="A21">
        <v>20</v>
      </c>
      <c r="B21">
        <v>0.33289999999999997</v>
      </c>
      <c r="C21">
        <f t="shared" si="1"/>
        <v>0.11651499999999998</v>
      </c>
      <c r="E21">
        <f>((($B$61-$B$21)/($A$61-$A$21)))</f>
        <v>1.8710000000000005E-3</v>
      </c>
    </row>
    <row r="22" spans="1:5" x14ac:dyDescent="0.2">
      <c r="A22">
        <v>21</v>
      </c>
      <c r="B22">
        <f t="shared" ref="B22:B60" si="2">((($B$61-$B$21)/($A$61-$A$21)) *(A22-$A$21)) + $B$21</f>
        <v>0.33477099999999999</v>
      </c>
      <c r="C22">
        <f t="shared" si="1"/>
        <v>0.11716984999999999</v>
      </c>
    </row>
    <row r="23" spans="1:5" x14ac:dyDescent="0.2">
      <c r="A23">
        <v>22</v>
      </c>
      <c r="B23">
        <f t="shared" si="2"/>
        <v>0.336642</v>
      </c>
      <c r="C23">
        <f t="shared" si="1"/>
        <v>0.11782469999999999</v>
      </c>
    </row>
    <row r="24" spans="1:5" x14ac:dyDescent="0.2">
      <c r="A24">
        <v>23</v>
      </c>
      <c r="B24">
        <f t="shared" si="2"/>
        <v>0.33851299999999995</v>
      </c>
      <c r="C24">
        <f t="shared" si="1"/>
        <v>0.11847954999999998</v>
      </c>
    </row>
    <row r="25" spans="1:5" x14ac:dyDescent="0.2">
      <c r="A25">
        <v>24</v>
      </c>
      <c r="B25">
        <f t="shared" si="2"/>
        <v>0.34038399999999996</v>
      </c>
      <c r="C25">
        <f t="shared" si="1"/>
        <v>0.11913439999999997</v>
      </c>
    </row>
    <row r="26" spans="1:5" x14ac:dyDescent="0.2">
      <c r="A26">
        <v>25</v>
      </c>
      <c r="B26">
        <f t="shared" si="2"/>
        <v>0.34225499999999998</v>
      </c>
      <c r="C26">
        <f t="shared" si="1"/>
        <v>0.11978924999999999</v>
      </c>
    </row>
    <row r="27" spans="1:5" x14ac:dyDescent="0.2">
      <c r="A27">
        <v>26</v>
      </c>
      <c r="B27">
        <f t="shared" si="2"/>
        <v>0.34412599999999999</v>
      </c>
      <c r="C27">
        <f t="shared" si="1"/>
        <v>0.12044409999999998</v>
      </c>
    </row>
    <row r="28" spans="1:5" x14ac:dyDescent="0.2">
      <c r="A28">
        <v>27</v>
      </c>
      <c r="B28">
        <f t="shared" si="2"/>
        <v>0.345997</v>
      </c>
      <c r="C28">
        <f t="shared" si="1"/>
        <v>0.12109895</v>
      </c>
    </row>
    <row r="29" spans="1:5" x14ac:dyDescent="0.2">
      <c r="A29">
        <v>28</v>
      </c>
      <c r="B29">
        <f t="shared" si="2"/>
        <v>0.34786799999999996</v>
      </c>
      <c r="C29">
        <f t="shared" si="1"/>
        <v>0.12175379999999998</v>
      </c>
    </row>
    <row r="30" spans="1:5" x14ac:dyDescent="0.2">
      <c r="A30">
        <v>29</v>
      </c>
      <c r="B30">
        <f t="shared" si="2"/>
        <v>0.34973899999999997</v>
      </c>
      <c r="C30">
        <f t="shared" si="1"/>
        <v>0.12240864999999998</v>
      </c>
    </row>
    <row r="31" spans="1:5" x14ac:dyDescent="0.2">
      <c r="A31">
        <v>30</v>
      </c>
      <c r="B31">
        <f t="shared" si="2"/>
        <v>0.35160999999999998</v>
      </c>
      <c r="C31">
        <f t="shared" si="1"/>
        <v>0.12306349999999998</v>
      </c>
    </row>
    <row r="32" spans="1:5" x14ac:dyDescent="0.2">
      <c r="A32">
        <v>31</v>
      </c>
      <c r="B32">
        <f t="shared" si="2"/>
        <v>0.35348099999999999</v>
      </c>
      <c r="C32">
        <f t="shared" si="1"/>
        <v>0.12371834999999999</v>
      </c>
    </row>
    <row r="33" spans="1:3" x14ac:dyDescent="0.2">
      <c r="A33">
        <v>32</v>
      </c>
      <c r="B33">
        <f t="shared" si="2"/>
        <v>0.355352</v>
      </c>
      <c r="C33">
        <f t="shared" si="1"/>
        <v>0.12437319999999999</v>
      </c>
    </row>
    <row r="34" spans="1:3" x14ac:dyDescent="0.2">
      <c r="A34">
        <v>33</v>
      </c>
      <c r="B34">
        <f t="shared" si="2"/>
        <v>0.35722299999999996</v>
      </c>
      <c r="C34">
        <f t="shared" si="1"/>
        <v>0.12502804999999997</v>
      </c>
    </row>
    <row r="35" spans="1:3" x14ac:dyDescent="0.2">
      <c r="A35">
        <v>34</v>
      </c>
      <c r="B35">
        <f t="shared" si="2"/>
        <v>0.35909399999999997</v>
      </c>
      <c r="C35">
        <f t="shared" si="1"/>
        <v>0.12568289999999999</v>
      </c>
    </row>
    <row r="36" spans="1:3" x14ac:dyDescent="0.2">
      <c r="A36">
        <v>35</v>
      </c>
      <c r="B36">
        <f t="shared" si="2"/>
        <v>0.36096499999999998</v>
      </c>
      <c r="C36">
        <f t="shared" si="1"/>
        <v>0.12633775</v>
      </c>
    </row>
    <row r="37" spans="1:3" x14ac:dyDescent="0.2">
      <c r="A37">
        <v>36</v>
      </c>
      <c r="B37">
        <f t="shared" si="2"/>
        <v>0.36283599999999999</v>
      </c>
      <c r="C37">
        <f t="shared" si="1"/>
        <v>0.12699259999999998</v>
      </c>
    </row>
    <row r="38" spans="1:3" x14ac:dyDescent="0.2">
      <c r="A38">
        <v>37</v>
      </c>
      <c r="B38">
        <f t="shared" si="2"/>
        <v>0.364707</v>
      </c>
      <c r="C38">
        <f t="shared" si="1"/>
        <v>0.12764745</v>
      </c>
    </row>
    <row r="39" spans="1:3" x14ac:dyDescent="0.2">
      <c r="A39">
        <v>38</v>
      </c>
      <c r="B39">
        <f t="shared" si="2"/>
        <v>0.36657799999999996</v>
      </c>
      <c r="C39">
        <f t="shared" si="1"/>
        <v>0.12830229999999998</v>
      </c>
    </row>
    <row r="40" spans="1:3" x14ac:dyDescent="0.2">
      <c r="A40">
        <v>39</v>
      </c>
      <c r="B40">
        <f t="shared" si="2"/>
        <v>0.36844899999999997</v>
      </c>
      <c r="C40">
        <f t="shared" si="1"/>
        <v>0.12895714999999999</v>
      </c>
    </row>
    <row r="41" spans="1:3" x14ac:dyDescent="0.2">
      <c r="A41">
        <v>40</v>
      </c>
      <c r="B41">
        <f t="shared" si="2"/>
        <v>0.37031999999999998</v>
      </c>
      <c r="C41">
        <f t="shared" si="1"/>
        <v>0.12961199999999998</v>
      </c>
    </row>
    <row r="42" spans="1:3" x14ac:dyDescent="0.2">
      <c r="A42">
        <v>41</v>
      </c>
      <c r="B42">
        <f t="shared" si="2"/>
        <v>0.37219099999999999</v>
      </c>
      <c r="C42">
        <f t="shared" si="1"/>
        <v>0.13026684999999999</v>
      </c>
    </row>
    <row r="43" spans="1:3" x14ac:dyDescent="0.2">
      <c r="A43">
        <v>42</v>
      </c>
      <c r="B43">
        <f t="shared" si="2"/>
        <v>0.37406200000000001</v>
      </c>
      <c r="C43">
        <f t="shared" si="1"/>
        <v>0.1309217</v>
      </c>
    </row>
    <row r="44" spans="1:3" x14ac:dyDescent="0.2">
      <c r="A44">
        <v>43</v>
      </c>
      <c r="B44">
        <f t="shared" si="2"/>
        <v>0.37593299999999996</v>
      </c>
      <c r="C44">
        <f t="shared" si="1"/>
        <v>0.13157654999999999</v>
      </c>
    </row>
    <row r="45" spans="1:3" x14ac:dyDescent="0.2">
      <c r="A45">
        <v>44</v>
      </c>
      <c r="B45">
        <f t="shared" si="2"/>
        <v>0.37780399999999997</v>
      </c>
      <c r="C45">
        <f t="shared" si="1"/>
        <v>0.13223139999999997</v>
      </c>
    </row>
    <row r="46" spans="1:3" x14ac:dyDescent="0.2">
      <c r="A46">
        <v>45</v>
      </c>
      <c r="B46">
        <f t="shared" si="2"/>
        <v>0.37967499999999998</v>
      </c>
      <c r="C46">
        <f t="shared" si="1"/>
        <v>0.13288624999999998</v>
      </c>
    </row>
    <row r="47" spans="1:3" x14ac:dyDescent="0.2">
      <c r="A47">
        <v>46</v>
      </c>
      <c r="B47">
        <f t="shared" si="2"/>
        <v>0.381546</v>
      </c>
      <c r="C47">
        <f t="shared" si="1"/>
        <v>0.1335411</v>
      </c>
    </row>
    <row r="48" spans="1:3" x14ac:dyDescent="0.2">
      <c r="A48">
        <v>47</v>
      </c>
      <c r="B48">
        <f t="shared" si="2"/>
        <v>0.38341700000000001</v>
      </c>
      <c r="C48">
        <f t="shared" si="1"/>
        <v>0.13419594999999998</v>
      </c>
    </row>
    <row r="49" spans="1:3" x14ac:dyDescent="0.2">
      <c r="A49">
        <v>48</v>
      </c>
      <c r="B49">
        <f t="shared" si="2"/>
        <v>0.38528799999999996</v>
      </c>
      <c r="C49">
        <f t="shared" si="1"/>
        <v>0.13485079999999997</v>
      </c>
    </row>
    <row r="50" spans="1:3" x14ac:dyDescent="0.2">
      <c r="A50">
        <v>49</v>
      </c>
      <c r="B50">
        <f t="shared" si="2"/>
        <v>0.38715899999999998</v>
      </c>
      <c r="C50">
        <f t="shared" si="1"/>
        <v>0.13550564999999998</v>
      </c>
    </row>
    <row r="51" spans="1:3" x14ac:dyDescent="0.2">
      <c r="A51">
        <v>50</v>
      </c>
      <c r="B51">
        <f t="shared" si="2"/>
        <v>0.38902999999999999</v>
      </c>
      <c r="C51">
        <f t="shared" si="1"/>
        <v>0.13616049999999999</v>
      </c>
    </row>
    <row r="52" spans="1:3" x14ac:dyDescent="0.2">
      <c r="A52">
        <v>51</v>
      </c>
      <c r="B52">
        <f t="shared" si="2"/>
        <v>0.390901</v>
      </c>
      <c r="C52">
        <f t="shared" si="1"/>
        <v>0.13681535</v>
      </c>
    </row>
    <row r="53" spans="1:3" x14ac:dyDescent="0.2">
      <c r="A53">
        <v>52</v>
      </c>
      <c r="B53">
        <f t="shared" si="2"/>
        <v>0.39277200000000001</v>
      </c>
      <c r="C53">
        <f t="shared" si="1"/>
        <v>0.13747019999999999</v>
      </c>
    </row>
    <row r="54" spans="1:3" x14ac:dyDescent="0.2">
      <c r="A54">
        <v>53</v>
      </c>
      <c r="B54">
        <f t="shared" si="2"/>
        <v>0.39464299999999997</v>
      </c>
      <c r="C54">
        <f t="shared" si="1"/>
        <v>0.13812504999999997</v>
      </c>
    </row>
    <row r="55" spans="1:3" x14ac:dyDescent="0.2">
      <c r="A55">
        <v>54</v>
      </c>
      <c r="B55">
        <f t="shared" si="2"/>
        <v>0.39651399999999998</v>
      </c>
      <c r="C55">
        <f t="shared" si="1"/>
        <v>0.13877989999999998</v>
      </c>
    </row>
    <row r="56" spans="1:3" x14ac:dyDescent="0.2">
      <c r="A56">
        <v>55</v>
      </c>
      <c r="B56">
        <f t="shared" si="2"/>
        <v>0.39838499999999999</v>
      </c>
      <c r="C56">
        <f t="shared" si="1"/>
        <v>0.13943475</v>
      </c>
    </row>
    <row r="57" spans="1:3" x14ac:dyDescent="0.2">
      <c r="A57">
        <v>56</v>
      </c>
      <c r="B57">
        <f t="shared" si="2"/>
        <v>0.400256</v>
      </c>
      <c r="C57">
        <f t="shared" si="1"/>
        <v>0.14008959999999998</v>
      </c>
    </row>
    <row r="58" spans="1:3" x14ac:dyDescent="0.2">
      <c r="A58">
        <v>57</v>
      </c>
      <c r="B58">
        <f t="shared" si="2"/>
        <v>0.40212700000000001</v>
      </c>
      <c r="C58">
        <f t="shared" si="1"/>
        <v>0.14074444999999999</v>
      </c>
    </row>
    <row r="59" spans="1:3" x14ac:dyDescent="0.2">
      <c r="A59">
        <v>58</v>
      </c>
      <c r="B59">
        <f t="shared" si="2"/>
        <v>0.40399799999999997</v>
      </c>
      <c r="C59">
        <f t="shared" si="1"/>
        <v>0.14139929999999998</v>
      </c>
    </row>
    <row r="60" spans="1:3" x14ac:dyDescent="0.2">
      <c r="A60">
        <v>59</v>
      </c>
      <c r="B60">
        <f t="shared" si="2"/>
        <v>0.40586899999999998</v>
      </c>
      <c r="C60">
        <f t="shared" si="1"/>
        <v>0.14205414999999999</v>
      </c>
    </row>
    <row r="61" spans="1:3" x14ac:dyDescent="0.2">
      <c r="A61">
        <v>60</v>
      </c>
      <c r="B61">
        <v>0.40773999999999999</v>
      </c>
      <c r="C61">
        <f t="shared" si="1"/>
        <v>0.14270899999999997</v>
      </c>
    </row>
    <row r="62" spans="1:3" x14ac:dyDescent="0.2">
      <c r="A62">
        <v>61</v>
      </c>
      <c r="B62">
        <f t="shared" ref="B62:B100" si="3">((($B$101-$B$61)/($A$101-$A$61)) *(A62-$A$61)) + $B$61</f>
        <v>0.4062885</v>
      </c>
      <c r="C62">
        <f t="shared" si="1"/>
        <v>0.14220097499999998</v>
      </c>
    </row>
    <row r="63" spans="1:3" x14ac:dyDescent="0.2">
      <c r="A63">
        <v>62</v>
      </c>
      <c r="B63">
        <f t="shared" si="3"/>
        <v>0.404837</v>
      </c>
      <c r="C63">
        <f t="shared" si="1"/>
        <v>0.14169294999999998</v>
      </c>
    </row>
    <row r="64" spans="1:3" x14ac:dyDescent="0.2">
      <c r="A64">
        <v>63</v>
      </c>
      <c r="B64">
        <f t="shared" si="3"/>
        <v>0.40338550000000001</v>
      </c>
      <c r="C64">
        <f t="shared" si="1"/>
        <v>0.14118492499999999</v>
      </c>
    </row>
    <row r="65" spans="1:3" x14ac:dyDescent="0.2">
      <c r="A65">
        <v>64</v>
      </c>
      <c r="B65">
        <f t="shared" si="3"/>
        <v>0.40193400000000001</v>
      </c>
      <c r="C65">
        <f t="shared" si="1"/>
        <v>0.14067689999999999</v>
      </c>
    </row>
    <row r="66" spans="1:3" x14ac:dyDescent="0.2">
      <c r="A66">
        <v>65</v>
      </c>
      <c r="B66">
        <f t="shared" si="3"/>
        <v>0.40048249999999996</v>
      </c>
      <c r="C66">
        <f t="shared" si="1"/>
        <v>0.14016887499999997</v>
      </c>
    </row>
    <row r="67" spans="1:3" x14ac:dyDescent="0.2">
      <c r="A67">
        <v>66</v>
      </c>
      <c r="B67">
        <f t="shared" si="3"/>
        <v>0.39903099999999997</v>
      </c>
      <c r="C67">
        <f t="shared" ref="C67:C130" si="4">B67*0.35</f>
        <v>0.13966084999999998</v>
      </c>
    </row>
    <row r="68" spans="1:3" x14ac:dyDescent="0.2">
      <c r="A68">
        <v>67</v>
      </c>
      <c r="B68">
        <f t="shared" si="3"/>
        <v>0.39757949999999997</v>
      </c>
      <c r="C68">
        <f t="shared" si="4"/>
        <v>0.13915282499999998</v>
      </c>
    </row>
    <row r="69" spans="1:3" x14ac:dyDescent="0.2">
      <c r="A69">
        <v>68</v>
      </c>
      <c r="B69">
        <f t="shared" si="3"/>
        <v>0.39612799999999998</v>
      </c>
      <c r="C69">
        <f t="shared" si="4"/>
        <v>0.13864479999999998</v>
      </c>
    </row>
    <row r="70" spans="1:3" x14ac:dyDescent="0.2">
      <c r="A70">
        <v>69</v>
      </c>
      <c r="B70">
        <f t="shared" si="3"/>
        <v>0.39467649999999999</v>
      </c>
      <c r="C70">
        <f t="shared" si="4"/>
        <v>0.13813677499999999</v>
      </c>
    </row>
    <row r="71" spans="1:3" x14ac:dyDescent="0.2">
      <c r="A71">
        <v>70</v>
      </c>
      <c r="B71">
        <f t="shared" si="3"/>
        <v>0.39322499999999999</v>
      </c>
      <c r="C71">
        <f t="shared" si="4"/>
        <v>0.13762874999999999</v>
      </c>
    </row>
    <row r="72" spans="1:3" x14ac:dyDescent="0.2">
      <c r="A72">
        <v>71</v>
      </c>
      <c r="B72">
        <f t="shared" si="3"/>
        <v>0.3917735</v>
      </c>
      <c r="C72">
        <f t="shared" si="4"/>
        <v>0.137120725</v>
      </c>
    </row>
    <row r="73" spans="1:3" x14ac:dyDescent="0.2">
      <c r="A73">
        <v>72</v>
      </c>
      <c r="B73">
        <f t="shared" si="3"/>
        <v>0.390322</v>
      </c>
      <c r="C73">
        <f t="shared" si="4"/>
        <v>0.1366127</v>
      </c>
    </row>
    <row r="74" spans="1:3" x14ac:dyDescent="0.2">
      <c r="A74">
        <v>73</v>
      </c>
      <c r="B74">
        <f t="shared" si="3"/>
        <v>0.38887050000000001</v>
      </c>
      <c r="C74">
        <f t="shared" si="4"/>
        <v>0.13610467499999998</v>
      </c>
    </row>
    <row r="75" spans="1:3" x14ac:dyDescent="0.2">
      <c r="A75">
        <v>74</v>
      </c>
      <c r="B75">
        <f t="shared" si="3"/>
        <v>0.38741900000000001</v>
      </c>
      <c r="C75">
        <f t="shared" si="4"/>
        <v>0.13559664999999999</v>
      </c>
    </row>
    <row r="76" spans="1:3" x14ac:dyDescent="0.2">
      <c r="A76">
        <v>75</v>
      </c>
      <c r="B76">
        <f t="shared" si="3"/>
        <v>0.38596750000000002</v>
      </c>
      <c r="C76">
        <f t="shared" si="4"/>
        <v>0.13508862499999999</v>
      </c>
    </row>
    <row r="77" spans="1:3" x14ac:dyDescent="0.2">
      <c r="A77">
        <v>76</v>
      </c>
      <c r="B77">
        <f t="shared" si="3"/>
        <v>0.38451599999999997</v>
      </c>
      <c r="C77">
        <f t="shared" si="4"/>
        <v>0.13458059999999997</v>
      </c>
    </row>
    <row r="78" spans="1:3" x14ac:dyDescent="0.2">
      <c r="A78">
        <v>77</v>
      </c>
      <c r="B78">
        <f t="shared" si="3"/>
        <v>0.38306449999999997</v>
      </c>
      <c r="C78">
        <f t="shared" si="4"/>
        <v>0.13407257499999997</v>
      </c>
    </row>
    <row r="79" spans="1:3" x14ac:dyDescent="0.2">
      <c r="A79">
        <v>78</v>
      </c>
      <c r="B79">
        <f t="shared" si="3"/>
        <v>0.38161299999999998</v>
      </c>
      <c r="C79">
        <f t="shared" si="4"/>
        <v>0.13356454999999998</v>
      </c>
    </row>
    <row r="80" spans="1:3" x14ac:dyDescent="0.2">
      <c r="A80">
        <v>79</v>
      </c>
      <c r="B80">
        <f t="shared" si="3"/>
        <v>0.38016149999999999</v>
      </c>
      <c r="C80">
        <f t="shared" si="4"/>
        <v>0.13305652499999998</v>
      </c>
    </row>
    <row r="81" spans="1:3" x14ac:dyDescent="0.2">
      <c r="A81">
        <v>80</v>
      </c>
      <c r="B81">
        <f t="shared" si="3"/>
        <v>0.37870999999999999</v>
      </c>
      <c r="C81">
        <f t="shared" si="4"/>
        <v>0.13254849999999999</v>
      </c>
    </row>
    <row r="82" spans="1:3" x14ac:dyDescent="0.2">
      <c r="A82">
        <v>81</v>
      </c>
      <c r="B82">
        <f t="shared" si="3"/>
        <v>0.3772585</v>
      </c>
      <c r="C82">
        <f t="shared" si="4"/>
        <v>0.13204047499999999</v>
      </c>
    </row>
    <row r="83" spans="1:3" x14ac:dyDescent="0.2">
      <c r="A83">
        <v>82</v>
      </c>
      <c r="B83">
        <f t="shared" si="3"/>
        <v>0.375807</v>
      </c>
      <c r="C83">
        <f t="shared" si="4"/>
        <v>0.13153245</v>
      </c>
    </row>
    <row r="84" spans="1:3" x14ac:dyDescent="0.2">
      <c r="A84">
        <v>83</v>
      </c>
      <c r="B84">
        <f t="shared" si="3"/>
        <v>0.37435550000000001</v>
      </c>
      <c r="C84">
        <f t="shared" si="4"/>
        <v>0.131024425</v>
      </c>
    </row>
    <row r="85" spans="1:3" x14ac:dyDescent="0.2">
      <c r="A85">
        <v>84</v>
      </c>
      <c r="B85">
        <f t="shared" si="3"/>
        <v>0.37290400000000001</v>
      </c>
      <c r="C85">
        <f t="shared" si="4"/>
        <v>0.1305164</v>
      </c>
    </row>
    <row r="86" spans="1:3" x14ac:dyDescent="0.2">
      <c r="A86">
        <v>85</v>
      </c>
      <c r="B86">
        <f t="shared" si="3"/>
        <v>0.37145249999999996</v>
      </c>
      <c r="C86">
        <f t="shared" si="4"/>
        <v>0.13000837499999998</v>
      </c>
    </row>
    <row r="87" spans="1:3" x14ac:dyDescent="0.2">
      <c r="A87">
        <v>86</v>
      </c>
      <c r="B87">
        <f t="shared" si="3"/>
        <v>0.37000099999999997</v>
      </c>
      <c r="C87">
        <f t="shared" si="4"/>
        <v>0.12950034999999999</v>
      </c>
    </row>
    <row r="88" spans="1:3" x14ac:dyDescent="0.2">
      <c r="A88">
        <v>87</v>
      </c>
      <c r="B88">
        <f t="shared" si="3"/>
        <v>0.36854949999999997</v>
      </c>
      <c r="C88">
        <f t="shared" si="4"/>
        <v>0.12899232499999999</v>
      </c>
    </row>
    <row r="89" spans="1:3" x14ac:dyDescent="0.2">
      <c r="A89">
        <v>88</v>
      </c>
      <c r="B89">
        <f t="shared" si="3"/>
        <v>0.36709799999999998</v>
      </c>
      <c r="C89">
        <f t="shared" si="4"/>
        <v>0.1284843</v>
      </c>
    </row>
    <row r="90" spans="1:3" x14ac:dyDescent="0.2">
      <c r="A90">
        <v>89</v>
      </c>
      <c r="B90">
        <f t="shared" si="3"/>
        <v>0.36564649999999999</v>
      </c>
      <c r="C90">
        <f t="shared" si="4"/>
        <v>0.127976275</v>
      </c>
    </row>
    <row r="91" spans="1:3" x14ac:dyDescent="0.2">
      <c r="A91">
        <v>90</v>
      </c>
      <c r="B91">
        <f t="shared" si="3"/>
        <v>0.36419499999999999</v>
      </c>
      <c r="C91">
        <f t="shared" si="4"/>
        <v>0.12746824999999998</v>
      </c>
    </row>
    <row r="92" spans="1:3" x14ac:dyDescent="0.2">
      <c r="A92">
        <v>91</v>
      </c>
      <c r="B92">
        <f t="shared" si="3"/>
        <v>0.3627435</v>
      </c>
      <c r="C92">
        <f t="shared" si="4"/>
        <v>0.12696022499999998</v>
      </c>
    </row>
    <row r="93" spans="1:3" x14ac:dyDescent="0.2">
      <c r="A93">
        <v>92</v>
      </c>
      <c r="B93">
        <f t="shared" si="3"/>
        <v>0.361292</v>
      </c>
      <c r="C93">
        <f t="shared" si="4"/>
        <v>0.12645219999999999</v>
      </c>
    </row>
    <row r="94" spans="1:3" x14ac:dyDescent="0.2">
      <c r="A94">
        <v>93</v>
      </c>
      <c r="B94">
        <f t="shared" si="3"/>
        <v>0.35984050000000001</v>
      </c>
      <c r="C94">
        <f t="shared" si="4"/>
        <v>0.12594417499999999</v>
      </c>
    </row>
    <row r="95" spans="1:3" x14ac:dyDescent="0.2">
      <c r="A95">
        <v>94</v>
      </c>
      <c r="B95">
        <f t="shared" si="3"/>
        <v>0.35838899999999996</v>
      </c>
      <c r="C95">
        <f t="shared" si="4"/>
        <v>0.12543614999999997</v>
      </c>
    </row>
    <row r="96" spans="1:3" x14ac:dyDescent="0.2">
      <c r="A96">
        <v>95</v>
      </c>
      <c r="B96">
        <f t="shared" si="3"/>
        <v>0.35693750000000002</v>
      </c>
      <c r="C96">
        <f t="shared" si="4"/>
        <v>0.124928125</v>
      </c>
    </row>
    <row r="97" spans="1:5" x14ac:dyDescent="0.2">
      <c r="A97">
        <v>96</v>
      </c>
      <c r="B97">
        <f t="shared" si="3"/>
        <v>0.35548599999999997</v>
      </c>
      <c r="C97">
        <f t="shared" si="4"/>
        <v>0.12442009999999998</v>
      </c>
    </row>
    <row r="98" spans="1:5" x14ac:dyDescent="0.2">
      <c r="A98">
        <v>97</v>
      </c>
      <c r="B98">
        <f t="shared" si="3"/>
        <v>0.35403449999999997</v>
      </c>
      <c r="C98">
        <f t="shared" si="4"/>
        <v>0.12391207499999998</v>
      </c>
    </row>
    <row r="99" spans="1:5" x14ac:dyDescent="0.2">
      <c r="A99">
        <v>98</v>
      </c>
      <c r="B99">
        <f t="shared" si="3"/>
        <v>0.35258299999999998</v>
      </c>
      <c r="C99">
        <f t="shared" si="4"/>
        <v>0.12340404999999999</v>
      </c>
    </row>
    <row r="100" spans="1:5" x14ac:dyDescent="0.2">
      <c r="A100">
        <v>99</v>
      </c>
      <c r="B100">
        <f t="shared" si="3"/>
        <v>0.35113149999999999</v>
      </c>
      <c r="C100">
        <f t="shared" si="4"/>
        <v>0.12289602499999999</v>
      </c>
      <c r="E100" t="s">
        <v>10</v>
      </c>
    </row>
    <row r="101" spans="1:5" x14ac:dyDescent="0.2">
      <c r="A101">
        <v>100</v>
      </c>
      <c r="B101">
        <v>0.34967999999999999</v>
      </c>
      <c r="C101">
        <f t="shared" si="4"/>
        <v>0.12238799999999998</v>
      </c>
      <c r="E101">
        <f>((($B$101-$B$61)/($A$101-$A$61)))</f>
        <v>-1.4515000000000001E-3</v>
      </c>
    </row>
    <row r="102" spans="1:5" x14ac:dyDescent="0.2">
      <c r="A102">
        <v>101</v>
      </c>
      <c r="B102">
        <f>B101+$E$101</f>
        <v>0.3482285</v>
      </c>
      <c r="C102">
        <f t="shared" si="4"/>
        <v>0.12187997499999999</v>
      </c>
    </row>
    <row r="103" spans="1:5" x14ac:dyDescent="0.2">
      <c r="A103">
        <v>102</v>
      </c>
      <c r="B103">
        <f t="shared" ref="B103:B151" si="5">B102+$E$101</f>
        <v>0.346777</v>
      </c>
      <c r="C103">
        <f t="shared" si="4"/>
        <v>0.12137194999999999</v>
      </c>
    </row>
    <row r="104" spans="1:5" x14ac:dyDescent="0.2">
      <c r="A104">
        <v>103</v>
      </c>
      <c r="B104">
        <f t="shared" si="5"/>
        <v>0.34532550000000001</v>
      </c>
      <c r="C104">
        <f t="shared" si="4"/>
        <v>0.120863925</v>
      </c>
    </row>
    <row r="105" spans="1:5" x14ac:dyDescent="0.2">
      <c r="A105">
        <v>104</v>
      </c>
      <c r="B105">
        <f t="shared" si="5"/>
        <v>0.34387400000000001</v>
      </c>
      <c r="C105">
        <f t="shared" si="4"/>
        <v>0.1203559</v>
      </c>
    </row>
    <row r="106" spans="1:5" x14ac:dyDescent="0.2">
      <c r="A106">
        <v>105</v>
      </c>
      <c r="B106">
        <f t="shared" si="5"/>
        <v>0.34242250000000002</v>
      </c>
      <c r="C106">
        <f t="shared" si="4"/>
        <v>0.11984787499999999</v>
      </c>
    </row>
    <row r="107" spans="1:5" x14ac:dyDescent="0.2">
      <c r="A107">
        <v>106</v>
      </c>
      <c r="B107">
        <f t="shared" si="5"/>
        <v>0.34097100000000002</v>
      </c>
      <c r="C107">
        <f t="shared" si="4"/>
        <v>0.11933985</v>
      </c>
    </row>
    <row r="108" spans="1:5" x14ac:dyDescent="0.2">
      <c r="A108">
        <v>107</v>
      </c>
      <c r="B108">
        <f t="shared" si="5"/>
        <v>0.33951950000000003</v>
      </c>
      <c r="C108">
        <f t="shared" si="4"/>
        <v>0.118831825</v>
      </c>
    </row>
    <row r="109" spans="1:5" x14ac:dyDescent="0.2">
      <c r="A109">
        <v>108</v>
      </c>
      <c r="B109">
        <f t="shared" si="5"/>
        <v>0.33806800000000004</v>
      </c>
      <c r="C109">
        <f t="shared" si="4"/>
        <v>0.11832380000000001</v>
      </c>
    </row>
    <row r="110" spans="1:5" x14ac:dyDescent="0.2">
      <c r="A110">
        <v>109</v>
      </c>
      <c r="B110">
        <f t="shared" si="5"/>
        <v>0.33661650000000004</v>
      </c>
      <c r="C110">
        <f t="shared" si="4"/>
        <v>0.11781577500000001</v>
      </c>
    </row>
    <row r="111" spans="1:5" x14ac:dyDescent="0.2">
      <c r="A111">
        <v>110</v>
      </c>
      <c r="B111">
        <f t="shared" si="5"/>
        <v>0.33516500000000005</v>
      </c>
      <c r="C111">
        <f t="shared" si="4"/>
        <v>0.11730775</v>
      </c>
    </row>
    <row r="112" spans="1:5" x14ac:dyDescent="0.2">
      <c r="A112">
        <v>111</v>
      </c>
      <c r="B112">
        <f t="shared" si="5"/>
        <v>0.33371350000000005</v>
      </c>
      <c r="C112">
        <f t="shared" si="4"/>
        <v>0.11679972500000001</v>
      </c>
    </row>
    <row r="113" spans="1:3" x14ac:dyDescent="0.2">
      <c r="A113">
        <v>112</v>
      </c>
      <c r="B113">
        <f t="shared" si="5"/>
        <v>0.33226200000000006</v>
      </c>
      <c r="C113">
        <f t="shared" si="4"/>
        <v>0.11629170000000001</v>
      </c>
    </row>
    <row r="114" spans="1:3" x14ac:dyDescent="0.2">
      <c r="A114">
        <v>113</v>
      </c>
      <c r="B114">
        <f t="shared" si="5"/>
        <v>0.33081050000000006</v>
      </c>
      <c r="C114">
        <f t="shared" si="4"/>
        <v>0.11578367500000002</v>
      </c>
    </row>
    <row r="115" spans="1:3" x14ac:dyDescent="0.2">
      <c r="A115">
        <v>114</v>
      </c>
      <c r="B115">
        <f t="shared" si="5"/>
        <v>0.32935900000000007</v>
      </c>
      <c r="C115">
        <f t="shared" si="4"/>
        <v>0.11527565000000002</v>
      </c>
    </row>
    <row r="116" spans="1:3" x14ac:dyDescent="0.2">
      <c r="A116">
        <v>115</v>
      </c>
      <c r="B116">
        <f t="shared" si="5"/>
        <v>0.32790750000000007</v>
      </c>
      <c r="C116">
        <f t="shared" si="4"/>
        <v>0.11476762500000001</v>
      </c>
    </row>
    <row r="117" spans="1:3" x14ac:dyDescent="0.2">
      <c r="A117">
        <v>116</v>
      </c>
      <c r="B117">
        <f t="shared" si="5"/>
        <v>0.32645600000000008</v>
      </c>
      <c r="C117">
        <f t="shared" si="4"/>
        <v>0.11425960000000002</v>
      </c>
    </row>
    <row r="118" spans="1:3" x14ac:dyDescent="0.2">
      <c r="A118">
        <v>117</v>
      </c>
      <c r="B118">
        <f t="shared" si="5"/>
        <v>0.32500450000000008</v>
      </c>
      <c r="C118">
        <f t="shared" si="4"/>
        <v>0.11375157500000002</v>
      </c>
    </row>
    <row r="119" spans="1:3" x14ac:dyDescent="0.2">
      <c r="A119">
        <v>118</v>
      </c>
      <c r="B119">
        <f t="shared" si="5"/>
        <v>0.32355300000000009</v>
      </c>
      <c r="C119">
        <f t="shared" si="4"/>
        <v>0.11324355000000003</v>
      </c>
    </row>
    <row r="120" spans="1:3" x14ac:dyDescent="0.2">
      <c r="A120">
        <v>119</v>
      </c>
      <c r="B120">
        <f t="shared" si="5"/>
        <v>0.3221015000000001</v>
      </c>
      <c r="C120">
        <f t="shared" si="4"/>
        <v>0.11273552500000003</v>
      </c>
    </row>
    <row r="121" spans="1:3" x14ac:dyDescent="0.2">
      <c r="A121">
        <v>120</v>
      </c>
      <c r="B121">
        <f t="shared" si="5"/>
        <v>0.3206500000000001</v>
      </c>
      <c r="C121">
        <f t="shared" si="4"/>
        <v>0.11222750000000002</v>
      </c>
    </row>
    <row r="122" spans="1:3" x14ac:dyDescent="0.2">
      <c r="A122">
        <v>121</v>
      </c>
      <c r="B122">
        <f t="shared" si="5"/>
        <v>0.31919850000000011</v>
      </c>
      <c r="C122">
        <f t="shared" si="4"/>
        <v>0.11171947500000003</v>
      </c>
    </row>
    <row r="123" spans="1:3" x14ac:dyDescent="0.2">
      <c r="A123">
        <v>122</v>
      </c>
      <c r="B123">
        <f t="shared" si="5"/>
        <v>0.31774700000000011</v>
      </c>
      <c r="C123">
        <f t="shared" si="4"/>
        <v>0.11121145000000003</v>
      </c>
    </row>
    <row r="124" spans="1:3" x14ac:dyDescent="0.2">
      <c r="A124">
        <v>123</v>
      </c>
      <c r="B124">
        <f t="shared" si="5"/>
        <v>0.31629550000000012</v>
      </c>
      <c r="C124">
        <f t="shared" si="4"/>
        <v>0.11070342500000004</v>
      </c>
    </row>
    <row r="125" spans="1:3" x14ac:dyDescent="0.2">
      <c r="A125">
        <v>124</v>
      </c>
      <c r="B125">
        <f t="shared" si="5"/>
        <v>0.31484400000000012</v>
      </c>
      <c r="C125">
        <f t="shared" si="4"/>
        <v>0.11019540000000004</v>
      </c>
    </row>
    <row r="126" spans="1:3" x14ac:dyDescent="0.2">
      <c r="A126">
        <v>125</v>
      </c>
      <c r="B126">
        <f t="shared" si="5"/>
        <v>0.31339250000000013</v>
      </c>
      <c r="C126">
        <f t="shared" si="4"/>
        <v>0.10968737500000003</v>
      </c>
    </row>
    <row r="127" spans="1:3" x14ac:dyDescent="0.2">
      <c r="A127">
        <v>126</v>
      </c>
      <c r="B127">
        <f t="shared" si="5"/>
        <v>0.31194100000000013</v>
      </c>
      <c r="C127">
        <f t="shared" si="4"/>
        <v>0.10917935000000004</v>
      </c>
    </row>
    <row r="128" spans="1:3" x14ac:dyDescent="0.2">
      <c r="A128">
        <v>127</v>
      </c>
      <c r="B128">
        <f t="shared" si="5"/>
        <v>0.31048950000000014</v>
      </c>
      <c r="C128">
        <f t="shared" si="4"/>
        <v>0.10867132500000004</v>
      </c>
    </row>
    <row r="129" spans="1:3" x14ac:dyDescent="0.2">
      <c r="A129">
        <v>128</v>
      </c>
      <c r="B129">
        <f t="shared" si="5"/>
        <v>0.30903800000000015</v>
      </c>
      <c r="C129">
        <f t="shared" si="4"/>
        <v>0.10816330000000005</v>
      </c>
    </row>
    <row r="130" spans="1:3" x14ac:dyDescent="0.2">
      <c r="A130">
        <v>129</v>
      </c>
      <c r="B130">
        <f t="shared" si="5"/>
        <v>0.30758650000000015</v>
      </c>
      <c r="C130">
        <f t="shared" si="4"/>
        <v>0.10765527500000005</v>
      </c>
    </row>
    <row r="131" spans="1:3" x14ac:dyDescent="0.2">
      <c r="A131">
        <v>130</v>
      </c>
      <c r="B131">
        <f t="shared" si="5"/>
        <v>0.30613500000000016</v>
      </c>
      <c r="C131">
        <f t="shared" ref="C131:C151" si="6">B131*0.35</f>
        <v>0.10714725000000005</v>
      </c>
    </row>
    <row r="132" spans="1:3" x14ac:dyDescent="0.2">
      <c r="A132">
        <v>131</v>
      </c>
      <c r="B132">
        <f t="shared" si="5"/>
        <v>0.30468350000000016</v>
      </c>
      <c r="C132">
        <f t="shared" si="6"/>
        <v>0.10663922500000005</v>
      </c>
    </row>
    <row r="133" spans="1:3" x14ac:dyDescent="0.2">
      <c r="A133">
        <v>132</v>
      </c>
      <c r="B133">
        <f t="shared" si="5"/>
        <v>0.30323200000000017</v>
      </c>
      <c r="C133">
        <f t="shared" si="6"/>
        <v>0.10613120000000005</v>
      </c>
    </row>
    <row r="134" spans="1:3" x14ac:dyDescent="0.2">
      <c r="A134">
        <v>133</v>
      </c>
      <c r="B134">
        <f t="shared" si="5"/>
        <v>0.30178050000000017</v>
      </c>
      <c r="C134">
        <f t="shared" si="6"/>
        <v>0.10562317500000006</v>
      </c>
    </row>
    <row r="135" spans="1:3" x14ac:dyDescent="0.2">
      <c r="A135">
        <v>134</v>
      </c>
      <c r="B135">
        <f t="shared" si="5"/>
        <v>0.30032900000000018</v>
      </c>
      <c r="C135">
        <f t="shared" si="6"/>
        <v>0.10511515000000006</v>
      </c>
    </row>
    <row r="136" spans="1:3" x14ac:dyDescent="0.2">
      <c r="A136">
        <v>135</v>
      </c>
      <c r="B136">
        <f t="shared" si="5"/>
        <v>0.29887750000000018</v>
      </c>
      <c r="C136">
        <f t="shared" si="6"/>
        <v>0.10460712500000006</v>
      </c>
    </row>
    <row r="137" spans="1:3" x14ac:dyDescent="0.2">
      <c r="A137">
        <v>136</v>
      </c>
      <c r="B137">
        <f t="shared" si="5"/>
        <v>0.29742600000000019</v>
      </c>
      <c r="C137">
        <f t="shared" si="6"/>
        <v>0.10409910000000006</v>
      </c>
    </row>
    <row r="138" spans="1:3" x14ac:dyDescent="0.2">
      <c r="A138">
        <v>137</v>
      </c>
      <c r="B138">
        <f t="shared" si="5"/>
        <v>0.2959745000000002</v>
      </c>
      <c r="C138">
        <f t="shared" si="6"/>
        <v>0.10359107500000006</v>
      </c>
    </row>
    <row r="139" spans="1:3" x14ac:dyDescent="0.2">
      <c r="A139">
        <v>138</v>
      </c>
      <c r="B139">
        <f t="shared" si="5"/>
        <v>0.2945230000000002</v>
      </c>
      <c r="C139">
        <f t="shared" si="6"/>
        <v>0.10308305000000006</v>
      </c>
    </row>
    <row r="140" spans="1:3" x14ac:dyDescent="0.2">
      <c r="A140">
        <v>139</v>
      </c>
      <c r="B140">
        <f t="shared" si="5"/>
        <v>0.29307150000000021</v>
      </c>
      <c r="C140">
        <f t="shared" si="6"/>
        <v>0.10257502500000007</v>
      </c>
    </row>
    <row r="141" spans="1:3" x14ac:dyDescent="0.2">
      <c r="A141">
        <v>140</v>
      </c>
      <c r="B141">
        <f t="shared" si="5"/>
        <v>0.29162000000000021</v>
      </c>
      <c r="C141">
        <f t="shared" si="6"/>
        <v>0.10206700000000007</v>
      </c>
    </row>
    <row r="142" spans="1:3" x14ac:dyDescent="0.2">
      <c r="A142">
        <v>141</v>
      </c>
      <c r="B142">
        <f t="shared" si="5"/>
        <v>0.29016850000000022</v>
      </c>
      <c r="C142">
        <f t="shared" si="6"/>
        <v>0.10155897500000007</v>
      </c>
    </row>
    <row r="143" spans="1:3" x14ac:dyDescent="0.2">
      <c r="A143">
        <v>142</v>
      </c>
      <c r="B143">
        <f t="shared" si="5"/>
        <v>0.28871700000000022</v>
      </c>
      <c r="C143">
        <f t="shared" si="6"/>
        <v>0.10105095000000007</v>
      </c>
    </row>
    <row r="144" spans="1:3" x14ac:dyDescent="0.2">
      <c r="A144">
        <v>143</v>
      </c>
      <c r="B144">
        <f t="shared" si="5"/>
        <v>0.28726550000000023</v>
      </c>
      <c r="C144">
        <f t="shared" si="6"/>
        <v>0.10054292500000007</v>
      </c>
    </row>
    <row r="145" spans="1:3" x14ac:dyDescent="0.2">
      <c r="A145">
        <v>144</v>
      </c>
      <c r="B145">
        <f t="shared" si="5"/>
        <v>0.28581400000000023</v>
      </c>
      <c r="C145">
        <f t="shared" si="6"/>
        <v>0.10003490000000008</v>
      </c>
    </row>
    <row r="146" spans="1:3" x14ac:dyDescent="0.2">
      <c r="A146">
        <v>145</v>
      </c>
      <c r="B146">
        <f t="shared" si="5"/>
        <v>0.28436250000000024</v>
      </c>
      <c r="C146">
        <f t="shared" si="6"/>
        <v>9.9526875000000084E-2</v>
      </c>
    </row>
    <row r="147" spans="1:3" x14ac:dyDescent="0.2">
      <c r="A147">
        <v>146</v>
      </c>
      <c r="B147">
        <f t="shared" si="5"/>
        <v>0.28291100000000025</v>
      </c>
      <c r="C147">
        <f t="shared" si="6"/>
        <v>9.9018850000000075E-2</v>
      </c>
    </row>
    <row r="148" spans="1:3" x14ac:dyDescent="0.2">
      <c r="A148">
        <v>147</v>
      </c>
      <c r="B148">
        <f t="shared" si="5"/>
        <v>0.28145950000000025</v>
      </c>
      <c r="C148">
        <f t="shared" si="6"/>
        <v>9.851082500000008E-2</v>
      </c>
    </row>
    <row r="149" spans="1:3" x14ac:dyDescent="0.2">
      <c r="A149">
        <v>148</v>
      </c>
      <c r="B149">
        <f t="shared" si="5"/>
        <v>0.28000800000000026</v>
      </c>
      <c r="C149">
        <f t="shared" si="6"/>
        <v>9.8002800000000084E-2</v>
      </c>
    </row>
    <row r="150" spans="1:3" x14ac:dyDescent="0.2">
      <c r="A150">
        <v>149</v>
      </c>
      <c r="B150">
        <f t="shared" si="5"/>
        <v>0.27855650000000026</v>
      </c>
      <c r="C150">
        <f t="shared" si="6"/>
        <v>9.7494775000000089E-2</v>
      </c>
    </row>
    <row r="151" spans="1:3" x14ac:dyDescent="0.2">
      <c r="A151">
        <v>150</v>
      </c>
      <c r="B151">
        <f t="shared" si="5"/>
        <v>0.27710500000000027</v>
      </c>
      <c r="C151">
        <f t="shared" si="6"/>
        <v>9.6986750000000094E-2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F151"/>
  <sheetViews>
    <sheetView workbookViewId="0">
      <selection activeCell="D103" sqref="D103"/>
    </sheetView>
  </sheetViews>
  <sheetFormatPr baseColWidth="10" defaultColWidth="8.83203125" defaultRowHeight="15" x14ac:dyDescent="0.2"/>
  <cols>
    <col min="1" max="1" width="10.5" customWidth="1"/>
    <col min="2" max="2" width="9.5" bestFit="1" customWidth="1"/>
    <col min="3" max="3" width="14.33203125" customWidth="1"/>
    <col min="4" max="4" width="13" customWidth="1"/>
    <col min="5" max="5" width="12.33203125" bestFit="1" customWidth="1"/>
    <col min="6" max="6" width="12.5" bestFit="1" customWidth="1"/>
    <col min="9" max="9" width="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2">
      <c r="A2">
        <v>1</v>
      </c>
      <c r="B2">
        <f t="shared" ref="B2:B19" si="0">B3-$E$21</f>
        <v>0.46811274999999958</v>
      </c>
      <c r="C2">
        <f>B2*0.35</f>
        <v>0.16383946249999984</v>
      </c>
      <c r="E2" t="s">
        <v>4</v>
      </c>
      <c r="F2">
        <v>0.4027</v>
      </c>
    </row>
    <row r="3" spans="1:6" x14ac:dyDescent="0.2">
      <c r="A3">
        <v>2</v>
      </c>
      <c r="B3">
        <f t="shared" si="0"/>
        <v>0.4659504999999996</v>
      </c>
      <c r="C3">
        <f t="shared" ref="C3:C66" si="1">B3*0.35</f>
        <v>0.16308267499999984</v>
      </c>
      <c r="E3" t="s">
        <v>5</v>
      </c>
      <c r="F3">
        <v>0.42703000000000002</v>
      </c>
    </row>
    <row r="4" spans="1:6" x14ac:dyDescent="0.2">
      <c r="A4">
        <v>3</v>
      </c>
      <c r="B4">
        <f t="shared" si="0"/>
        <v>0.46378824999999962</v>
      </c>
      <c r="C4">
        <f t="shared" si="1"/>
        <v>0.16232588749999985</v>
      </c>
      <c r="E4" t="s">
        <v>6</v>
      </c>
      <c r="F4">
        <v>0.34054000000000001</v>
      </c>
    </row>
    <row r="5" spans="1:6" x14ac:dyDescent="0.2">
      <c r="A5">
        <v>4</v>
      </c>
      <c r="B5">
        <f t="shared" si="0"/>
        <v>0.46162599999999965</v>
      </c>
      <c r="C5">
        <f t="shared" si="1"/>
        <v>0.16156909999999985</v>
      </c>
      <c r="E5" t="s">
        <v>7</v>
      </c>
      <c r="F5">
        <v>0.47027000000000002</v>
      </c>
    </row>
    <row r="6" spans="1:6" x14ac:dyDescent="0.2">
      <c r="A6">
        <v>5</v>
      </c>
      <c r="B6">
        <f t="shared" si="0"/>
        <v>0.45946374999999967</v>
      </c>
      <c r="C6">
        <f t="shared" si="1"/>
        <v>0.16081231249999989</v>
      </c>
    </row>
    <row r="7" spans="1:6" x14ac:dyDescent="0.2">
      <c r="A7">
        <v>6</v>
      </c>
      <c r="B7">
        <f t="shared" si="0"/>
        <v>0.45730149999999969</v>
      </c>
      <c r="C7">
        <f t="shared" si="1"/>
        <v>0.16005552499999989</v>
      </c>
    </row>
    <row r="8" spans="1:6" x14ac:dyDescent="0.2">
      <c r="A8">
        <v>7</v>
      </c>
      <c r="B8">
        <f t="shared" si="0"/>
        <v>0.45513924999999972</v>
      </c>
      <c r="C8">
        <f t="shared" si="1"/>
        <v>0.1592987374999999</v>
      </c>
    </row>
    <row r="9" spans="1:6" x14ac:dyDescent="0.2">
      <c r="A9">
        <v>8</v>
      </c>
      <c r="B9">
        <f t="shared" si="0"/>
        <v>0.45297699999999974</v>
      </c>
      <c r="C9">
        <f t="shared" si="1"/>
        <v>0.1585419499999999</v>
      </c>
    </row>
    <row r="10" spans="1:6" x14ac:dyDescent="0.2">
      <c r="A10">
        <v>9</v>
      </c>
      <c r="B10">
        <f t="shared" si="0"/>
        <v>0.45081474999999976</v>
      </c>
      <c r="C10">
        <f t="shared" si="1"/>
        <v>0.15778516249999991</v>
      </c>
    </row>
    <row r="11" spans="1:6" x14ac:dyDescent="0.2">
      <c r="A11">
        <v>10</v>
      </c>
      <c r="B11">
        <f t="shared" si="0"/>
        <v>0.44865249999999979</v>
      </c>
      <c r="C11">
        <f t="shared" si="1"/>
        <v>0.15702837499999991</v>
      </c>
    </row>
    <row r="12" spans="1:6" x14ac:dyDescent="0.2">
      <c r="A12">
        <v>11</v>
      </c>
      <c r="B12">
        <f t="shared" si="0"/>
        <v>0.44649024999999981</v>
      </c>
      <c r="C12">
        <f t="shared" si="1"/>
        <v>0.15627158749999992</v>
      </c>
    </row>
    <row r="13" spans="1:6" x14ac:dyDescent="0.2">
      <c r="A13">
        <v>12</v>
      </c>
      <c r="B13">
        <f t="shared" si="0"/>
        <v>0.44432799999999983</v>
      </c>
      <c r="C13">
        <f t="shared" si="1"/>
        <v>0.15551479999999993</v>
      </c>
    </row>
    <row r="14" spans="1:6" x14ac:dyDescent="0.2">
      <c r="A14">
        <v>13</v>
      </c>
      <c r="B14">
        <f t="shared" si="0"/>
        <v>0.44216574999999986</v>
      </c>
      <c r="C14">
        <f t="shared" si="1"/>
        <v>0.15475801249999993</v>
      </c>
    </row>
    <row r="15" spans="1:6" x14ac:dyDescent="0.2">
      <c r="A15">
        <v>14</v>
      </c>
      <c r="B15">
        <f t="shared" si="0"/>
        <v>0.44000349999999988</v>
      </c>
      <c r="C15">
        <f t="shared" si="1"/>
        <v>0.15400122499999994</v>
      </c>
    </row>
    <row r="16" spans="1:6" x14ac:dyDescent="0.2">
      <c r="A16">
        <v>15</v>
      </c>
      <c r="B16">
        <f t="shared" si="0"/>
        <v>0.4378412499999999</v>
      </c>
      <c r="C16">
        <f t="shared" si="1"/>
        <v>0.15324443749999997</v>
      </c>
    </row>
    <row r="17" spans="1:5" x14ac:dyDescent="0.2">
      <c r="A17">
        <v>16</v>
      </c>
      <c r="B17">
        <f t="shared" si="0"/>
        <v>0.43567899999999993</v>
      </c>
      <c r="C17">
        <f t="shared" si="1"/>
        <v>0.15248764999999997</v>
      </c>
    </row>
    <row r="18" spans="1:5" x14ac:dyDescent="0.2">
      <c r="A18">
        <v>17</v>
      </c>
      <c r="B18">
        <f t="shared" si="0"/>
        <v>0.43351674999999995</v>
      </c>
      <c r="C18">
        <f t="shared" si="1"/>
        <v>0.15173086249999998</v>
      </c>
    </row>
    <row r="19" spans="1:5" x14ac:dyDescent="0.2">
      <c r="A19">
        <v>18</v>
      </c>
      <c r="B19">
        <f t="shared" si="0"/>
        <v>0.43135449999999997</v>
      </c>
      <c r="C19">
        <f t="shared" si="1"/>
        <v>0.15097407499999999</v>
      </c>
    </row>
    <row r="20" spans="1:5" x14ac:dyDescent="0.2">
      <c r="A20">
        <v>19</v>
      </c>
      <c r="B20">
        <f>B21-$E$21</f>
        <v>0.42919225</v>
      </c>
      <c r="C20">
        <f t="shared" si="1"/>
        <v>0.15021728749999999</v>
      </c>
      <c r="E20" t="s">
        <v>10</v>
      </c>
    </row>
    <row r="21" spans="1:5" x14ac:dyDescent="0.2">
      <c r="A21">
        <v>20</v>
      </c>
      <c r="B21">
        <v>0.42703000000000002</v>
      </c>
      <c r="C21">
        <f t="shared" si="1"/>
        <v>0.1494605</v>
      </c>
      <c r="E21">
        <f>((($B$61-$B$21)/($A$61-$A$21)))</f>
        <v>-2.1622500000000001E-3</v>
      </c>
    </row>
    <row r="22" spans="1:5" x14ac:dyDescent="0.2">
      <c r="A22">
        <v>21</v>
      </c>
      <c r="B22">
        <f t="shared" ref="B22:B60" si="2">((($B$61-$B$21)/($A$61-$A$21)) *(A22-$A$21)) + $B$21</f>
        <v>0.42486775000000004</v>
      </c>
      <c r="C22">
        <f t="shared" si="1"/>
        <v>0.1487037125</v>
      </c>
    </row>
    <row r="23" spans="1:5" x14ac:dyDescent="0.2">
      <c r="A23">
        <v>22</v>
      </c>
      <c r="B23">
        <f t="shared" si="2"/>
        <v>0.42270550000000001</v>
      </c>
      <c r="C23">
        <f t="shared" si="1"/>
        <v>0.14794692500000001</v>
      </c>
    </row>
    <row r="24" spans="1:5" x14ac:dyDescent="0.2">
      <c r="A24">
        <v>23</v>
      </c>
      <c r="B24">
        <f t="shared" si="2"/>
        <v>0.42054325000000004</v>
      </c>
      <c r="C24">
        <f t="shared" si="1"/>
        <v>0.14719013750000001</v>
      </c>
    </row>
    <row r="25" spans="1:5" x14ac:dyDescent="0.2">
      <c r="A25">
        <v>24</v>
      </c>
      <c r="B25">
        <f t="shared" si="2"/>
        <v>0.418381</v>
      </c>
      <c r="C25">
        <f t="shared" si="1"/>
        <v>0.14643334999999999</v>
      </c>
    </row>
    <row r="26" spans="1:5" x14ac:dyDescent="0.2">
      <c r="A26">
        <v>25</v>
      </c>
      <c r="B26">
        <f t="shared" si="2"/>
        <v>0.41621875000000003</v>
      </c>
      <c r="C26">
        <f t="shared" si="1"/>
        <v>0.1456765625</v>
      </c>
    </row>
    <row r="27" spans="1:5" x14ac:dyDescent="0.2">
      <c r="A27">
        <v>26</v>
      </c>
      <c r="B27">
        <f t="shared" si="2"/>
        <v>0.41405649999999999</v>
      </c>
      <c r="C27">
        <f t="shared" si="1"/>
        <v>0.144919775</v>
      </c>
    </row>
    <row r="28" spans="1:5" x14ac:dyDescent="0.2">
      <c r="A28">
        <v>27</v>
      </c>
      <c r="B28">
        <f t="shared" si="2"/>
        <v>0.41189425000000002</v>
      </c>
      <c r="C28">
        <f t="shared" si="1"/>
        <v>0.14416298750000001</v>
      </c>
    </row>
    <row r="29" spans="1:5" x14ac:dyDescent="0.2">
      <c r="A29">
        <v>28</v>
      </c>
      <c r="B29">
        <f t="shared" si="2"/>
        <v>0.40973200000000004</v>
      </c>
      <c r="C29">
        <f t="shared" si="1"/>
        <v>0.14340620000000001</v>
      </c>
    </row>
    <row r="30" spans="1:5" x14ac:dyDescent="0.2">
      <c r="A30">
        <v>29</v>
      </c>
      <c r="B30">
        <f t="shared" si="2"/>
        <v>0.40756975000000001</v>
      </c>
      <c r="C30">
        <f t="shared" si="1"/>
        <v>0.14264941249999999</v>
      </c>
    </row>
    <row r="31" spans="1:5" x14ac:dyDescent="0.2">
      <c r="A31">
        <v>30</v>
      </c>
      <c r="B31">
        <f t="shared" si="2"/>
        <v>0.40540750000000003</v>
      </c>
      <c r="C31">
        <f t="shared" si="1"/>
        <v>0.14189262499999999</v>
      </c>
    </row>
    <row r="32" spans="1:5" x14ac:dyDescent="0.2">
      <c r="A32">
        <v>31</v>
      </c>
      <c r="B32">
        <f t="shared" si="2"/>
        <v>0.40324525</v>
      </c>
      <c r="C32">
        <f t="shared" si="1"/>
        <v>0.1411358375</v>
      </c>
    </row>
    <row r="33" spans="1:3" x14ac:dyDescent="0.2">
      <c r="A33">
        <v>32</v>
      </c>
      <c r="B33">
        <f t="shared" si="2"/>
        <v>0.40108300000000002</v>
      </c>
      <c r="C33">
        <f t="shared" si="1"/>
        <v>0.14037905000000001</v>
      </c>
    </row>
    <row r="34" spans="1:3" x14ac:dyDescent="0.2">
      <c r="A34">
        <v>33</v>
      </c>
      <c r="B34">
        <f t="shared" si="2"/>
        <v>0.39892075000000005</v>
      </c>
      <c r="C34">
        <f t="shared" si="1"/>
        <v>0.13962226250000001</v>
      </c>
    </row>
    <row r="35" spans="1:3" x14ac:dyDescent="0.2">
      <c r="A35">
        <v>34</v>
      </c>
      <c r="B35">
        <f t="shared" si="2"/>
        <v>0.39675850000000001</v>
      </c>
      <c r="C35">
        <f t="shared" si="1"/>
        <v>0.13886547499999999</v>
      </c>
    </row>
    <row r="36" spans="1:3" x14ac:dyDescent="0.2">
      <c r="A36">
        <v>35</v>
      </c>
      <c r="B36">
        <f t="shared" si="2"/>
        <v>0.39459625000000004</v>
      </c>
      <c r="C36">
        <f t="shared" si="1"/>
        <v>0.13810868749999999</v>
      </c>
    </row>
    <row r="37" spans="1:3" x14ac:dyDescent="0.2">
      <c r="A37">
        <v>36</v>
      </c>
      <c r="B37">
        <f t="shared" si="2"/>
        <v>0.39243400000000001</v>
      </c>
      <c r="C37">
        <f t="shared" si="1"/>
        <v>0.1373519</v>
      </c>
    </row>
    <row r="38" spans="1:3" x14ac:dyDescent="0.2">
      <c r="A38">
        <v>37</v>
      </c>
      <c r="B38">
        <f t="shared" si="2"/>
        <v>0.39027175000000003</v>
      </c>
      <c r="C38">
        <f t="shared" si="1"/>
        <v>0.1365951125</v>
      </c>
    </row>
    <row r="39" spans="1:3" x14ac:dyDescent="0.2">
      <c r="A39">
        <v>38</v>
      </c>
      <c r="B39">
        <f t="shared" si="2"/>
        <v>0.3881095</v>
      </c>
      <c r="C39">
        <f t="shared" si="1"/>
        <v>0.13583832499999998</v>
      </c>
    </row>
    <row r="40" spans="1:3" x14ac:dyDescent="0.2">
      <c r="A40">
        <v>39</v>
      </c>
      <c r="B40">
        <f t="shared" si="2"/>
        <v>0.38594725000000002</v>
      </c>
      <c r="C40">
        <f t="shared" si="1"/>
        <v>0.13508153749999999</v>
      </c>
    </row>
    <row r="41" spans="1:3" x14ac:dyDescent="0.2">
      <c r="A41">
        <v>40</v>
      </c>
      <c r="B41">
        <f t="shared" si="2"/>
        <v>0.38378500000000004</v>
      </c>
      <c r="C41">
        <f t="shared" si="1"/>
        <v>0.13432474999999999</v>
      </c>
    </row>
    <row r="42" spans="1:3" x14ac:dyDescent="0.2">
      <c r="A42">
        <v>41</v>
      </c>
      <c r="B42">
        <f t="shared" si="2"/>
        <v>0.38162275000000001</v>
      </c>
      <c r="C42">
        <f t="shared" si="1"/>
        <v>0.1335679625</v>
      </c>
    </row>
    <row r="43" spans="1:3" x14ac:dyDescent="0.2">
      <c r="A43">
        <v>42</v>
      </c>
      <c r="B43">
        <f t="shared" si="2"/>
        <v>0.37946050000000003</v>
      </c>
      <c r="C43">
        <f t="shared" si="1"/>
        <v>0.132811175</v>
      </c>
    </row>
    <row r="44" spans="1:3" x14ac:dyDescent="0.2">
      <c r="A44">
        <v>43</v>
      </c>
      <c r="B44">
        <f t="shared" si="2"/>
        <v>0.37729825</v>
      </c>
      <c r="C44">
        <f t="shared" si="1"/>
        <v>0.13205438749999998</v>
      </c>
    </row>
    <row r="45" spans="1:3" x14ac:dyDescent="0.2">
      <c r="A45">
        <v>44</v>
      </c>
      <c r="B45">
        <f t="shared" si="2"/>
        <v>0.37513600000000002</v>
      </c>
      <c r="C45">
        <f t="shared" si="1"/>
        <v>0.13129760000000001</v>
      </c>
    </row>
    <row r="46" spans="1:3" x14ac:dyDescent="0.2">
      <c r="A46">
        <v>45</v>
      </c>
      <c r="B46">
        <f t="shared" si="2"/>
        <v>0.37297374999999999</v>
      </c>
      <c r="C46">
        <f t="shared" si="1"/>
        <v>0.13054081249999999</v>
      </c>
    </row>
    <row r="47" spans="1:3" x14ac:dyDescent="0.2">
      <c r="A47">
        <v>46</v>
      </c>
      <c r="B47">
        <f t="shared" si="2"/>
        <v>0.37081150000000002</v>
      </c>
      <c r="C47">
        <f t="shared" si="1"/>
        <v>0.129784025</v>
      </c>
    </row>
    <row r="48" spans="1:3" x14ac:dyDescent="0.2">
      <c r="A48">
        <v>47</v>
      </c>
      <c r="B48">
        <f t="shared" si="2"/>
        <v>0.36864925000000004</v>
      </c>
      <c r="C48">
        <f t="shared" si="1"/>
        <v>0.1290272375</v>
      </c>
    </row>
    <row r="49" spans="1:3" x14ac:dyDescent="0.2">
      <c r="A49">
        <v>48</v>
      </c>
      <c r="B49">
        <f t="shared" si="2"/>
        <v>0.36648700000000001</v>
      </c>
      <c r="C49">
        <f t="shared" si="1"/>
        <v>0.12827045000000001</v>
      </c>
    </row>
    <row r="50" spans="1:3" x14ac:dyDescent="0.2">
      <c r="A50">
        <v>49</v>
      </c>
      <c r="B50">
        <f t="shared" si="2"/>
        <v>0.36432475000000003</v>
      </c>
      <c r="C50">
        <f t="shared" si="1"/>
        <v>0.12751366250000001</v>
      </c>
    </row>
    <row r="51" spans="1:3" x14ac:dyDescent="0.2">
      <c r="A51">
        <v>50</v>
      </c>
      <c r="B51">
        <f t="shared" si="2"/>
        <v>0.3621625</v>
      </c>
      <c r="C51">
        <f t="shared" si="1"/>
        <v>0.12675687499999999</v>
      </c>
    </row>
    <row r="52" spans="1:3" x14ac:dyDescent="0.2">
      <c r="A52">
        <v>51</v>
      </c>
      <c r="B52">
        <f t="shared" si="2"/>
        <v>0.36000025000000002</v>
      </c>
      <c r="C52">
        <f t="shared" si="1"/>
        <v>0.1260000875</v>
      </c>
    </row>
    <row r="53" spans="1:3" x14ac:dyDescent="0.2">
      <c r="A53">
        <v>52</v>
      </c>
      <c r="B53">
        <f t="shared" si="2"/>
        <v>0.35783799999999999</v>
      </c>
      <c r="C53">
        <f t="shared" si="1"/>
        <v>0.1252433</v>
      </c>
    </row>
    <row r="54" spans="1:3" x14ac:dyDescent="0.2">
      <c r="A54">
        <v>53</v>
      </c>
      <c r="B54">
        <f t="shared" si="2"/>
        <v>0.35567575000000001</v>
      </c>
      <c r="C54">
        <f t="shared" si="1"/>
        <v>0.12448651249999999</v>
      </c>
    </row>
    <row r="55" spans="1:3" x14ac:dyDescent="0.2">
      <c r="A55">
        <v>54</v>
      </c>
      <c r="B55">
        <f t="shared" si="2"/>
        <v>0.35351350000000004</v>
      </c>
      <c r="C55">
        <f t="shared" si="1"/>
        <v>0.123729725</v>
      </c>
    </row>
    <row r="56" spans="1:3" x14ac:dyDescent="0.2">
      <c r="A56">
        <v>55</v>
      </c>
      <c r="B56">
        <f t="shared" si="2"/>
        <v>0.35135125</v>
      </c>
      <c r="C56">
        <f t="shared" si="1"/>
        <v>0.12297293749999999</v>
      </c>
    </row>
    <row r="57" spans="1:3" x14ac:dyDescent="0.2">
      <c r="A57">
        <v>56</v>
      </c>
      <c r="B57">
        <f t="shared" si="2"/>
        <v>0.34918900000000003</v>
      </c>
      <c r="C57">
        <f t="shared" si="1"/>
        <v>0.12221615</v>
      </c>
    </row>
    <row r="58" spans="1:3" x14ac:dyDescent="0.2">
      <c r="A58">
        <v>57</v>
      </c>
      <c r="B58">
        <f t="shared" si="2"/>
        <v>0.34702675000000005</v>
      </c>
      <c r="C58">
        <f t="shared" si="1"/>
        <v>0.12145936250000001</v>
      </c>
    </row>
    <row r="59" spans="1:3" x14ac:dyDescent="0.2">
      <c r="A59">
        <v>58</v>
      </c>
      <c r="B59">
        <f t="shared" si="2"/>
        <v>0.34486450000000002</v>
      </c>
      <c r="C59">
        <f t="shared" si="1"/>
        <v>0.12070257499999999</v>
      </c>
    </row>
    <row r="60" spans="1:3" x14ac:dyDescent="0.2">
      <c r="A60">
        <v>59</v>
      </c>
      <c r="B60">
        <f t="shared" si="2"/>
        <v>0.34270224999999999</v>
      </c>
      <c r="C60">
        <f t="shared" si="1"/>
        <v>0.11994578749999998</v>
      </c>
    </row>
    <row r="61" spans="1:3" x14ac:dyDescent="0.2">
      <c r="A61">
        <v>60</v>
      </c>
      <c r="B61">
        <v>0.34054000000000001</v>
      </c>
      <c r="C61">
        <f t="shared" si="1"/>
        <v>0.11918899999999999</v>
      </c>
    </row>
    <row r="62" spans="1:3" x14ac:dyDescent="0.2">
      <c r="A62">
        <v>61</v>
      </c>
      <c r="B62">
        <f t="shared" ref="B62:B100" si="3">((($B$101-$B$61)/($A$101-$A$61)) *(A62-$A$61)) + $B$61</f>
        <v>0.34209400000000001</v>
      </c>
      <c r="C62">
        <f t="shared" si="1"/>
        <v>0.11973289999999999</v>
      </c>
    </row>
    <row r="63" spans="1:3" x14ac:dyDescent="0.2">
      <c r="A63">
        <v>62</v>
      </c>
      <c r="B63">
        <f t="shared" si="3"/>
        <v>0.34364800000000001</v>
      </c>
      <c r="C63">
        <f t="shared" si="1"/>
        <v>0.12027679999999999</v>
      </c>
    </row>
    <row r="64" spans="1:3" x14ac:dyDescent="0.2">
      <c r="A64">
        <v>63</v>
      </c>
      <c r="B64">
        <f t="shared" si="3"/>
        <v>0.34520200000000001</v>
      </c>
      <c r="C64">
        <f t="shared" si="1"/>
        <v>0.12082069999999999</v>
      </c>
    </row>
    <row r="65" spans="1:3" x14ac:dyDescent="0.2">
      <c r="A65">
        <v>64</v>
      </c>
      <c r="B65">
        <f t="shared" si="3"/>
        <v>0.34675600000000001</v>
      </c>
      <c r="C65">
        <f t="shared" si="1"/>
        <v>0.12136459999999999</v>
      </c>
    </row>
    <row r="66" spans="1:3" x14ac:dyDescent="0.2">
      <c r="A66">
        <v>65</v>
      </c>
      <c r="B66">
        <f t="shared" si="3"/>
        <v>0.34831000000000001</v>
      </c>
      <c r="C66">
        <f t="shared" si="1"/>
        <v>0.12190849999999999</v>
      </c>
    </row>
    <row r="67" spans="1:3" x14ac:dyDescent="0.2">
      <c r="A67">
        <v>66</v>
      </c>
      <c r="B67">
        <f t="shared" si="3"/>
        <v>0.34986400000000001</v>
      </c>
      <c r="C67">
        <f t="shared" ref="C67:C130" si="4">B67*0.35</f>
        <v>0.12245239999999999</v>
      </c>
    </row>
    <row r="68" spans="1:3" x14ac:dyDescent="0.2">
      <c r="A68">
        <v>67</v>
      </c>
      <c r="B68">
        <f t="shared" si="3"/>
        <v>0.35141800000000001</v>
      </c>
      <c r="C68">
        <f t="shared" si="4"/>
        <v>0.12299629999999999</v>
      </c>
    </row>
    <row r="69" spans="1:3" x14ac:dyDescent="0.2">
      <c r="A69">
        <v>68</v>
      </c>
      <c r="B69">
        <f t="shared" si="3"/>
        <v>0.35297200000000001</v>
      </c>
      <c r="C69">
        <f t="shared" si="4"/>
        <v>0.12354019999999999</v>
      </c>
    </row>
    <row r="70" spans="1:3" x14ac:dyDescent="0.2">
      <c r="A70">
        <v>69</v>
      </c>
      <c r="B70">
        <f t="shared" si="3"/>
        <v>0.35452600000000001</v>
      </c>
      <c r="C70">
        <f t="shared" si="4"/>
        <v>0.12408409999999999</v>
      </c>
    </row>
    <row r="71" spans="1:3" x14ac:dyDescent="0.2">
      <c r="A71">
        <v>70</v>
      </c>
      <c r="B71">
        <f t="shared" si="3"/>
        <v>0.35608000000000001</v>
      </c>
      <c r="C71">
        <f t="shared" si="4"/>
        <v>0.12462799999999999</v>
      </c>
    </row>
    <row r="72" spans="1:3" x14ac:dyDescent="0.2">
      <c r="A72">
        <v>71</v>
      </c>
      <c r="B72">
        <f t="shared" si="3"/>
        <v>0.35763400000000001</v>
      </c>
      <c r="C72">
        <f t="shared" si="4"/>
        <v>0.1251719</v>
      </c>
    </row>
    <row r="73" spans="1:3" x14ac:dyDescent="0.2">
      <c r="A73">
        <v>72</v>
      </c>
      <c r="B73">
        <f t="shared" si="3"/>
        <v>0.35918800000000001</v>
      </c>
      <c r="C73">
        <f t="shared" si="4"/>
        <v>0.12571579999999999</v>
      </c>
    </row>
    <row r="74" spans="1:3" x14ac:dyDescent="0.2">
      <c r="A74">
        <v>73</v>
      </c>
      <c r="B74">
        <f t="shared" si="3"/>
        <v>0.36074200000000001</v>
      </c>
      <c r="C74">
        <f t="shared" si="4"/>
        <v>0.1262597</v>
      </c>
    </row>
    <row r="75" spans="1:3" x14ac:dyDescent="0.2">
      <c r="A75">
        <v>74</v>
      </c>
      <c r="B75">
        <f t="shared" si="3"/>
        <v>0.36229600000000001</v>
      </c>
      <c r="C75">
        <f t="shared" si="4"/>
        <v>0.12680359999999999</v>
      </c>
    </row>
    <row r="76" spans="1:3" x14ac:dyDescent="0.2">
      <c r="A76">
        <v>75</v>
      </c>
      <c r="B76">
        <f t="shared" si="3"/>
        <v>0.36385000000000001</v>
      </c>
      <c r="C76">
        <f t="shared" si="4"/>
        <v>0.1273475</v>
      </c>
    </row>
    <row r="77" spans="1:3" x14ac:dyDescent="0.2">
      <c r="A77">
        <v>76</v>
      </c>
      <c r="B77">
        <f t="shared" si="3"/>
        <v>0.36540400000000001</v>
      </c>
      <c r="C77">
        <f t="shared" si="4"/>
        <v>0.12789139999999999</v>
      </c>
    </row>
    <row r="78" spans="1:3" x14ac:dyDescent="0.2">
      <c r="A78">
        <v>77</v>
      </c>
      <c r="B78">
        <f t="shared" si="3"/>
        <v>0.36695800000000001</v>
      </c>
      <c r="C78">
        <f t="shared" si="4"/>
        <v>0.1284353</v>
      </c>
    </row>
    <row r="79" spans="1:3" x14ac:dyDescent="0.2">
      <c r="A79">
        <v>78</v>
      </c>
      <c r="B79">
        <f t="shared" si="3"/>
        <v>0.36851200000000001</v>
      </c>
      <c r="C79">
        <f t="shared" si="4"/>
        <v>0.12897919999999999</v>
      </c>
    </row>
    <row r="80" spans="1:3" x14ac:dyDescent="0.2">
      <c r="A80">
        <v>79</v>
      </c>
      <c r="B80">
        <f t="shared" si="3"/>
        <v>0.37006600000000001</v>
      </c>
      <c r="C80">
        <f t="shared" si="4"/>
        <v>0.1295231</v>
      </c>
    </row>
    <row r="81" spans="1:3" x14ac:dyDescent="0.2">
      <c r="A81">
        <v>80</v>
      </c>
      <c r="B81">
        <f t="shared" si="3"/>
        <v>0.37162000000000001</v>
      </c>
      <c r="C81">
        <f t="shared" si="4"/>
        <v>0.13006699999999999</v>
      </c>
    </row>
    <row r="82" spans="1:3" x14ac:dyDescent="0.2">
      <c r="A82">
        <v>81</v>
      </c>
      <c r="B82">
        <f t="shared" si="3"/>
        <v>0.37317400000000001</v>
      </c>
      <c r="C82">
        <f t="shared" si="4"/>
        <v>0.1306109</v>
      </c>
    </row>
    <row r="83" spans="1:3" x14ac:dyDescent="0.2">
      <c r="A83">
        <v>82</v>
      </c>
      <c r="B83">
        <f t="shared" si="3"/>
        <v>0.37472800000000001</v>
      </c>
      <c r="C83">
        <f t="shared" si="4"/>
        <v>0.13115479999999999</v>
      </c>
    </row>
    <row r="84" spans="1:3" x14ac:dyDescent="0.2">
      <c r="A84">
        <v>83</v>
      </c>
      <c r="B84">
        <f t="shared" si="3"/>
        <v>0.37628200000000001</v>
      </c>
      <c r="C84">
        <f t="shared" si="4"/>
        <v>0.1316987</v>
      </c>
    </row>
    <row r="85" spans="1:3" x14ac:dyDescent="0.2">
      <c r="A85">
        <v>84</v>
      </c>
      <c r="B85">
        <f t="shared" si="3"/>
        <v>0.37783600000000001</v>
      </c>
      <c r="C85">
        <f t="shared" si="4"/>
        <v>0.13224259999999999</v>
      </c>
    </row>
    <row r="86" spans="1:3" x14ac:dyDescent="0.2">
      <c r="A86">
        <v>85</v>
      </c>
      <c r="B86">
        <f t="shared" si="3"/>
        <v>0.37939000000000001</v>
      </c>
      <c r="C86">
        <f t="shared" si="4"/>
        <v>0.1327865</v>
      </c>
    </row>
    <row r="87" spans="1:3" x14ac:dyDescent="0.2">
      <c r="A87">
        <v>86</v>
      </c>
      <c r="B87">
        <f t="shared" si="3"/>
        <v>0.380944</v>
      </c>
      <c r="C87">
        <f t="shared" si="4"/>
        <v>0.13333039999999999</v>
      </c>
    </row>
    <row r="88" spans="1:3" x14ac:dyDescent="0.2">
      <c r="A88">
        <v>87</v>
      </c>
      <c r="B88">
        <f t="shared" si="3"/>
        <v>0.382498</v>
      </c>
      <c r="C88">
        <f t="shared" si="4"/>
        <v>0.1338743</v>
      </c>
    </row>
    <row r="89" spans="1:3" x14ac:dyDescent="0.2">
      <c r="A89">
        <v>88</v>
      </c>
      <c r="B89">
        <f t="shared" si="3"/>
        <v>0.384052</v>
      </c>
      <c r="C89">
        <f t="shared" si="4"/>
        <v>0.13441819999999999</v>
      </c>
    </row>
    <row r="90" spans="1:3" x14ac:dyDescent="0.2">
      <c r="A90">
        <v>89</v>
      </c>
      <c r="B90">
        <f t="shared" si="3"/>
        <v>0.385606</v>
      </c>
      <c r="C90">
        <f t="shared" si="4"/>
        <v>0.1349621</v>
      </c>
    </row>
    <row r="91" spans="1:3" x14ac:dyDescent="0.2">
      <c r="A91">
        <v>90</v>
      </c>
      <c r="B91">
        <f t="shared" si="3"/>
        <v>0.38716</v>
      </c>
      <c r="C91">
        <f t="shared" si="4"/>
        <v>0.13550599999999999</v>
      </c>
    </row>
    <row r="92" spans="1:3" x14ac:dyDescent="0.2">
      <c r="A92">
        <v>91</v>
      </c>
      <c r="B92">
        <f t="shared" si="3"/>
        <v>0.388714</v>
      </c>
      <c r="C92">
        <f t="shared" si="4"/>
        <v>0.1360499</v>
      </c>
    </row>
    <row r="93" spans="1:3" x14ac:dyDescent="0.2">
      <c r="A93">
        <v>92</v>
      </c>
      <c r="B93">
        <f t="shared" si="3"/>
        <v>0.390268</v>
      </c>
      <c r="C93">
        <f t="shared" si="4"/>
        <v>0.13659379999999999</v>
      </c>
    </row>
    <row r="94" spans="1:3" x14ac:dyDescent="0.2">
      <c r="A94">
        <v>93</v>
      </c>
      <c r="B94">
        <f t="shared" si="3"/>
        <v>0.391822</v>
      </c>
      <c r="C94">
        <f t="shared" si="4"/>
        <v>0.1371377</v>
      </c>
    </row>
    <row r="95" spans="1:3" x14ac:dyDescent="0.2">
      <c r="A95">
        <v>94</v>
      </c>
      <c r="B95">
        <f t="shared" si="3"/>
        <v>0.393376</v>
      </c>
      <c r="C95">
        <f t="shared" si="4"/>
        <v>0.13768159999999999</v>
      </c>
    </row>
    <row r="96" spans="1:3" x14ac:dyDescent="0.2">
      <c r="A96">
        <v>95</v>
      </c>
      <c r="B96">
        <f t="shared" si="3"/>
        <v>0.39493</v>
      </c>
      <c r="C96">
        <f t="shared" si="4"/>
        <v>0.1382255</v>
      </c>
    </row>
    <row r="97" spans="1:5" x14ac:dyDescent="0.2">
      <c r="A97">
        <v>96</v>
      </c>
      <c r="B97">
        <f t="shared" si="3"/>
        <v>0.396484</v>
      </c>
      <c r="C97">
        <f t="shared" si="4"/>
        <v>0.13876939999999999</v>
      </c>
    </row>
    <row r="98" spans="1:5" x14ac:dyDescent="0.2">
      <c r="A98">
        <v>97</v>
      </c>
      <c r="B98">
        <f t="shared" si="3"/>
        <v>0.398038</v>
      </c>
      <c r="C98">
        <f t="shared" si="4"/>
        <v>0.1393133</v>
      </c>
    </row>
    <row r="99" spans="1:5" x14ac:dyDescent="0.2">
      <c r="A99">
        <v>98</v>
      </c>
      <c r="B99">
        <f t="shared" si="3"/>
        <v>0.399592</v>
      </c>
      <c r="C99">
        <f t="shared" si="4"/>
        <v>0.13985719999999999</v>
      </c>
      <c r="E99" t="s">
        <v>10</v>
      </c>
    </row>
    <row r="100" spans="1:5" x14ac:dyDescent="0.2">
      <c r="A100">
        <v>99</v>
      </c>
      <c r="B100">
        <f t="shared" si="3"/>
        <v>0.401146</v>
      </c>
      <c r="C100">
        <f t="shared" si="4"/>
        <v>0.1404011</v>
      </c>
      <c r="E100">
        <f>((($B$101-$B$61)/($A$101-$A$61)))</f>
        <v>1.5539999999999998E-3</v>
      </c>
    </row>
    <row r="101" spans="1:5" x14ac:dyDescent="0.2">
      <c r="A101">
        <v>100</v>
      </c>
      <c r="B101">
        <v>0.4027</v>
      </c>
      <c r="C101">
        <f t="shared" si="4"/>
        <v>0.14094499999999999</v>
      </c>
    </row>
    <row r="102" spans="1:5" x14ac:dyDescent="0.2">
      <c r="A102">
        <v>101</v>
      </c>
      <c r="B102">
        <f>B101+$E$100</f>
        <v>0.404254</v>
      </c>
      <c r="C102">
        <f t="shared" si="4"/>
        <v>0.1414889</v>
      </c>
    </row>
    <row r="103" spans="1:5" x14ac:dyDescent="0.2">
      <c r="A103">
        <v>102</v>
      </c>
      <c r="B103">
        <f t="shared" ref="B103:B151" si="5">B102+$E$100</f>
        <v>0.405808</v>
      </c>
      <c r="C103">
        <f t="shared" si="4"/>
        <v>0.14203279999999999</v>
      </c>
    </row>
    <row r="104" spans="1:5" x14ac:dyDescent="0.2">
      <c r="A104">
        <v>103</v>
      </c>
      <c r="B104">
        <f t="shared" si="5"/>
        <v>0.407362</v>
      </c>
      <c r="C104">
        <f t="shared" si="4"/>
        <v>0.1425767</v>
      </c>
    </row>
    <row r="105" spans="1:5" x14ac:dyDescent="0.2">
      <c r="A105">
        <v>104</v>
      </c>
      <c r="B105">
        <f t="shared" si="5"/>
        <v>0.408916</v>
      </c>
      <c r="C105">
        <f t="shared" si="4"/>
        <v>0.14312059999999999</v>
      </c>
    </row>
    <row r="106" spans="1:5" x14ac:dyDescent="0.2">
      <c r="A106">
        <v>105</v>
      </c>
      <c r="B106">
        <f t="shared" si="5"/>
        <v>0.41047</v>
      </c>
      <c r="C106">
        <f t="shared" si="4"/>
        <v>0.1436645</v>
      </c>
    </row>
    <row r="107" spans="1:5" x14ac:dyDescent="0.2">
      <c r="A107">
        <v>106</v>
      </c>
      <c r="B107">
        <f t="shared" si="5"/>
        <v>0.412024</v>
      </c>
      <c r="C107">
        <f t="shared" si="4"/>
        <v>0.14420839999999999</v>
      </c>
    </row>
    <row r="108" spans="1:5" x14ac:dyDescent="0.2">
      <c r="A108">
        <v>107</v>
      </c>
      <c r="B108">
        <f t="shared" si="5"/>
        <v>0.413578</v>
      </c>
      <c r="C108">
        <f t="shared" si="4"/>
        <v>0.1447523</v>
      </c>
    </row>
    <row r="109" spans="1:5" x14ac:dyDescent="0.2">
      <c r="A109">
        <v>108</v>
      </c>
      <c r="B109">
        <f t="shared" si="5"/>
        <v>0.415132</v>
      </c>
      <c r="C109">
        <f t="shared" si="4"/>
        <v>0.14529619999999999</v>
      </c>
    </row>
    <row r="110" spans="1:5" x14ac:dyDescent="0.2">
      <c r="A110">
        <v>109</v>
      </c>
      <c r="B110">
        <f t="shared" si="5"/>
        <v>0.416686</v>
      </c>
      <c r="C110">
        <f t="shared" si="4"/>
        <v>0.1458401</v>
      </c>
    </row>
    <row r="111" spans="1:5" x14ac:dyDescent="0.2">
      <c r="A111">
        <v>110</v>
      </c>
      <c r="B111">
        <f t="shared" si="5"/>
        <v>0.41824</v>
      </c>
      <c r="C111">
        <f t="shared" si="4"/>
        <v>0.14638399999999999</v>
      </c>
    </row>
    <row r="112" spans="1:5" x14ac:dyDescent="0.2">
      <c r="A112">
        <v>111</v>
      </c>
      <c r="B112">
        <f t="shared" si="5"/>
        <v>0.419794</v>
      </c>
      <c r="C112">
        <f t="shared" si="4"/>
        <v>0.1469279</v>
      </c>
    </row>
    <row r="113" spans="1:3" x14ac:dyDescent="0.2">
      <c r="A113">
        <v>112</v>
      </c>
      <c r="B113">
        <f t="shared" si="5"/>
        <v>0.421348</v>
      </c>
      <c r="C113">
        <f t="shared" si="4"/>
        <v>0.14747179999999999</v>
      </c>
    </row>
    <row r="114" spans="1:3" x14ac:dyDescent="0.2">
      <c r="A114">
        <v>113</v>
      </c>
      <c r="B114">
        <f t="shared" si="5"/>
        <v>0.422902</v>
      </c>
      <c r="C114">
        <f t="shared" si="4"/>
        <v>0.1480157</v>
      </c>
    </row>
    <row r="115" spans="1:3" x14ac:dyDescent="0.2">
      <c r="A115">
        <v>114</v>
      </c>
      <c r="B115">
        <f t="shared" si="5"/>
        <v>0.424456</v>
      </c>
      <c r="C115">
        <f t="shared" si="4"/>
        <v>0.14855959999999999</v>
      </c>
    </row>
    <row r="116" spans="1:3" x14ac:dyDescent="0.2">
      <c r="A116">
        <v>115</v>
      </c>
      <c r="B116">
        <f t="shared" si="5"/>
        <v>0.42601</v>
      </c>
      <c r="C116">
        <f t="shared" si="4"/>
        <v>0.1491035</v>
      </c>
    </row>
    <row r="117" spans="1:3" x14ac:dyDescent="0.2">
      <c r="A117">
        <v>116</v>
      </c>
      <c r="B117">
        <f t="shared" si="5"/>
        <v>0.427564</v>
      </c>
      <c r="C117">
        <f t="shared" si="4"/>
        <v>0.14964739999999999</v>
      </c>
    </row>
    <row r="118" spans="1:3" x14ac:dyDescent="0.2">
      <c r="A118">
        <v>117</v>
      </c>
      <c r="B118">
        <f t="shared" si="5"/>
        <v>0.429118</v>
      </c>
      <c r="C118">
        <f t="shared" si="4"/>
        <v>0.1501913</v>
      </c>
    </row>
    <row r="119" spans="1:3" x14ac:dyDescent="0.2">
      <c r="A119">
        <v>118</v>
      </c>
      <c r="B119">
        <f t="shared" si="5"/>
        <v>0.430672</v>
      </c>
      <c r="C119">
        <f t="shared" si="4"/>
        <v>0.15073519999999999</v>
      </c>
    </row>
    <row r="120" spans="1:3" x14ac:dyDescent="0.2">
      <c r="A120">
        <v>119</v>
      </c>
      <c r="B120">
        <f t="shared" si="5"/>
        <v>0.432226</v>
      </c>
      <c r="C120">
        <f t="shared" si="4"/>
        <v>0.1512791</v>
      </c>
    </row>
    <row r="121" spans="1:3" x14ac:dyDescent="0.2">
      <c r="A121">
        <v>120</v>
      </c>
      <c r="B121">
        <f t="shared" si="5"/>
        <v>0.43378</v>
      </c>
      <c r="C121">
        <f t="shared" si="4"/>
        <v>0.15182299999999999</v>
      </c>
    </row>
    <row r="122" spans="1:3" x14ac:dyDescent="0.2">
      <c r="A122">
        <v>121</v>
      </c>
      <c r="B122">
        <f t="shared" si="5"/>
        <v>0.435334</v>
      </c>
      <c r="C122">
        <f t="shared" si="4"/>
        <v>0.1523669</v>
      </c>
    </row>
    <row r="123" spans="1:3" x14ac:dyDescent="0.2">
      <c r="A123">
        <v>122</v>
      </c>
      <c r="B123">
        <f t="shared" si="5"/>
        <v>0.436888</v>
      </c>
      <c r="C123">
        <f t="shared" si="4"/>
        <v>0.15291079999999999</v>
      </c>
    </row>
    <row r="124" spans="1:3" x14ac:dyDescent="0.2">
      <c r="A124">
        <v>123</v>
      </c>
      <c r="B124">
        <f t="shared" si="5"/>
        <v>0.438442</v>
      </c>
      <c r="C124">
        <f t="shared" si="4"/>
        <v>0.1534547</v>
      </c>
    </row>
    <row r="125" spans="1:3" x14ac:dyDescent="0.2">
      <c r="A125">
        <v>124</v>
      </c>
      <c r="B125">
        <f t="shared" si="5"/>
        <v>0.439996</v>
      </c>
      <c r="C125">
        <f t="shared" si="4"/>
        <v>0.15399859999999999</v>
      </c>
    </row>
    <row r="126" spans="1:3" x14ac:dyDescent="0.2">
      <c r="A126">
        <v>125</v>
      </c>
      <c r="B126">
        <f t="shared" si="5"/>
        <v>0.44155</v>
      </c>
      <c r="C126">
        <f t="shared" si="4"/>
        <v>0.1545425</v>
      </c>
    </row>
    <row r="127" spans="1:3" x14ac:dyDescent="0.2">
      <c r="A127">
        <v>126</v>
      </c>
      <c r="B127">
        <f t="shared" si="5"/>
        <v>0.443104</v>
      </c>
      <c r="C127">
        <f t="shared" si="4"/>
        <v>0.15508639999999999</v>
      </c>
    </row>
    <row r="128" spans="1:3" x14ac:dyDescent="0.2">
      <c r="A128">
        <v>127</v>
      </c>
      <c r="B128">
        <f t="shared" si="5"/>
        <v>0.444658</v>
      </c>
      <c r="C128">
        <f t="shared" si="4"/>
        <v>0.1556303</v>
      </c>
    </row>
    <row r="129" spans="1:3" x14ac:dyDescent="0.2">
      <c r="A129">
        <v>128</v>
      </c>
      <c r="B129">
        <f t="shared" si="5"/>
        <v>0.446212</v>
      </c>
      <c r="C129">
        <f t="shared" si="4"/>
        <v>0.15617419999999999</v>
      </c>
    </row>
    <row r="130" spans="1:3" x14ac:dyDescent="0.2">
      <c r="A130">
        <v>129</v>
      </c>
      <c r="B130">
        <f t="shared" si="5"/>
        <v>0.447766</v>
      </c>
      <c r="C130">
        <f t="shared" si="4"/>
        <v>0.1567181</v>
      </c>
    </row>
    <row r="131" spans="1:3" x14ac:dyDescent="0.2">
      <c r="A131">
        <v>130</v>
      </c>
      <c r="B131">
        <f t="shared" si="5"/>
        <v>0.44932</v>
      </c>
      <c r="C131">
        <f t="shared" ref="C131:C151" si="6">B131*0.35</f>
        <v>0.15726199999999999</v>
      </c>
    </row>
    <row r="132" spans="1:3" x14ac:dyDescent="0.2">
      <c r="A132">
        <v>131</v>
      </c>
      <c r="B132">
        <f t="shared" si="5"/>
        <v>0.450874</v>
      </c>
      <c r="C132">
        <f t="shared" si="6"/>
        <v>0.1578059</v>
      </c>
    </row>
    <row r="133" spans="1:3" x14ac:dyDescent="0.2">
      <c r="A133">
        <v>132</v>
      </c>
      <c r="B133">
        <f t="shared" si="5"/>
        <v>0.452428</v>
      </c>
      <c r="C133">
        <f t="shared" si="6"/>
        <v>0.15834979999999999</v>
      </c>
    </row>
    <row r="134" spans="1:3" x14ac:dyDescent="0.2">
      <c r="A134">
        <v>133</v>
      </c>
      <c r="B134">
        <f t="shared" si="5"/>
        <v>0.453982</v>
      </c>
      <c r="C134">
        <f t="shared" si="6"/>
        <v>0.1588937</v>
      </c>
    </row>
    <row r="135" spans="1:3" x14ac:dyDescent="0.2">
      <c r="A135">
        <v>134</v>
      </c>
      <c r="B135">
        <f t="shared" si="5"/>
        <v>0.455536</v>
      </c>
      <c r="C135">
        <f t="shared" si="6"/>
        <v>0.15943759999999998</v>
      </c>
    </row>
    <row r="136" spans="1:3" x14ac:dyDescent="0.2">
      <c r="A136">
        <v>135</v>
      </c>
      <c r="B136">
        <f t="shared" si="5"/>
        <v>0.45709</v>
      </c>
      <c r="C136">
        <f t="shared" si="6"/>
        <v>0.1599815</v>
      </c>
    </row>
    <row r="137" spans="1:3" x14ac:dyDescent="0.2">
      <c r="A137">
        <v>136</v>
      </c>
      <c r="B137">
        <f t="shared" si="5"/>
        <v>0.458644</v>
      </c>
      <c r="C137">
        <f t="shared" si="6"/>
        <v>0.16052539999999998</v>
      </c>
    </row>
    <row r="138" spans="1:3" x14ac:dyDescent="0.2">
      <c r="A138">
        <v>137</v>
      </c>
      <c r="B138">
        <f t="shared" si="5"/>
        <v>0.460198</v>
      </c>
      <c r="C138">
        <f t="shared" si="6"/>
        <v>0.1610693</v>
      </c>
    </row>
    <row r="139" spans="1:3" x14ac:dyDescent="0.2">
      <c r="A139">
        <v>138</v>
      </c>
      <c r="B139">
        <f t="shared" si="5"/>
        <v>0.461752</v>
      </c>
      <c r="C139">
        <f t="shared" si="6"/>
        <v>0.16161319999999998</v>
      </c>
    </row>
    <row r="140" spans="1:3" x14ac:dyDescent="0.2">
      <c r="A140">
        <v>139</v>
      </c>
      <c r="B140">
        <f t="shared" si="5"/>
        <v>0.463306</v>
      </c>
      <c r="C140">
        <f t="shared" si="6"/>
        <v>0.1621571</v>
      </c>
    </row>
    <row r="141" spans="1:3" x14ac:dyDescent="0.2">
      <c r="A141">
        <v>140</v>
      </c>
      <c r="B141">
        <f t="shared" si="5"/>
        <v>0.46486</v>
      </c>
      <c r="C141">
        <f t="shared" si="6"/>
        <v>0.16270099999999998</v>
      </c>
    </row>
    <row r="142" spans="1:3" x14ac:dyDescent="0.2">
      <c r="A142">
        <v>141</v>
      </c>
      <c r="B142">
        <f t="shared" si="5"/>
        <v>0.466414</v>
      </c>
      <c r="C142">
        <f t="shared" si="6"/>
        <v>0.1632449</v>
      </c>
    </row>
    <row r="143" spans="1:3" x14ac:dyDescent="0.2">
      <c r="A143">
        <v>142</v>
      </c>
      <c r="B143">
        <f t="shared" si="5"/>
        <v>0.467968</v>
      </c>
      <c r="C143">
        <f t="shared" si="6"/>
        <v>0.16378879999999998</v>
      </c>
    </row>
    <row r="144" spans="1:3" x14ac:dyDescent="0.2">
      <c r="A144">
        <v>143</v>
      </c>
      <c r="B144">
        <f t="shared" si="5"/>
        <v>0.46952199999999999</v>
      </c>
      <c r="C144">
        <f t="shared" si="6"/>
        <v>0.1643327</v>
      </c>
    </row>
    <row r="145" spans="1:3" x14ac:dyDescent="0.2">
      <c r="A145">
        <v>144</v>
      </c>
      <c r="B145">
        <f t="shared" si="5"/>
        <v>0.47107599999999999</v>
      </c>
      <c r="C145">
        <f t="shared" si="6"/>
        <v>0.16487659999999998</v>
      </c>
    </row>
    <row r="146" spans="1:3" x14ac:dyDescent="0.2">
      <c r="A146">
        <v>145</v>
      </c>
      <c r="B146">
        <f t="shared" si="5"/>
        <v>0.47262999999999999</v>
      </c>
      <c r="C146">
        <f t="shared" si="6"/>
        <v>0.1654205</v>
      </c>
    </row>
    <row r="147" spans="1:3" x14ac:dyDescent="0.2">
      <c r="A147">
        <v>146</v>
      </c>
      <c r="B147">
        <f t="shared" si="5"/>
        <v>0.47418399999999999</v>
      </c>
      <c r="C147">
        <f t="shared" si="6"/>
        <v>0.16596439999999998</v>
      </c>
    </row>
    <row r="148" spans="1:3" x14ac:dyDescent="0.2">
      <c r="A148">
        <v>147</v>
      </c>
      <c r="B148">
        <f t="shared" si="5"/>
        <v>0.47573799999999999</v>
      </c>
      <c r="C148">
        <f t="shared" si="6"/>
        <v>0.1665083</v>
      </c>
    </row>
    <row r="149" spans="1:3" x14ac:dyDescent="0.2">
      <c r="A149">
        <v>148</v>
      </c>
      <c r="B149">
        <f t="shared" si="5"/>
        <v>0.47729199999999999</v>
      </c>
      <c r="C149">
        <f t="shared" si="6"/>
        <v>0.16705219999999998</v>
      </c>
    </row>
    <row r="150" spans="1:3" x14ac:dyDescent="0.2">
      <c r="A150">
        <v>149</v>
      </c>
      <c r="B150">
        <f t="shared" si="5"/>
        <v>0.47884599999999999</v>
      </c>
      <c r="C150">
        <f t="shared" si="6"/>
        <v>0.1675961</v>
      </c>
    </row>
    <row r="151" spans="1:3" x14ac:dyDescent="0.2">
      <c r="A151">
        <v>150</v>
      </c>
      <c r="B151">
        <f t="shared" si="5"/>
        <v>0.48039999999999999</v>
      </c>
      <c r="C151">
        <f t="shared" si="6"/>
        <v>0.16813999999999998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F151"/>
  <sheetViews>
    <sheetView topLeftCell="A4" workbookViewId="0">
      <selection activeCell="G23" sqref="G23"/>
    </sheetView>
  </sheetViews>
  <sheetFormatPr baseColWidth="10" defaultColWidth="8.83203125" defaultRowHeight="15" x14ac:dyDescent="0.2"/>
  <cols>
    <col min="1" max="1" width="10.6640625" customWidth="1"/>
    <col min="2" max="2" width="11" bestFit="1" customWidth="1"/>
    <col min="3" max="3" width="13.5" customWidth="1"/>
    <col min="4" max="4" width="10.83203125" customWidth="1"/>
    <col min="5" max="5" width="12.33203125" bestFit="1" customWidth="1"/>
    <col min="6" max="6" width="12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2">
      <c r="A2">
        <v>1</v>
      </c>
      <c r="B2">
        <f t="shared" ref="B2:B19" si="0">B3-$E$21</f>
        <v>0.46811274999999958</v>
      </c>
      <c r="C2">
        <f>B2*0.35</f>
        <v>0.16383946249999984</v>
      </c>
      <c r="E2" s="1" t="s">
        <v>4</v>
      </c>
      <c r="F2" s="1">
        <v>0.4027</v>
      </c>
    </row>
    <row r="3" spans="1:6" x14ac:dyDescent="0.2">
      <c r="A3">
        <v>2</v>
      </c>
      <c r="B3">
        <f t="shared" si="0"/>
        <v>0.4659504999999996</v>
      </c>
      <c r="C3">
        <f t="shared" ref="C3:C66" si="1">B3*0.35</f>
        <v>0.16308267499999984</v>
      </c>
      <c r="E3" t="s">
        <v>5</v>
      </c>
      <c r="F3">
        <v>0.42703000000000002</v>
      </c>
    </row>
    <row r="4" spans="1:6" x14ac:dyDescent="0.2">
      <c r="A4">
        <v>3</v>
      </c>
      <c r="B4">
        <f t="shared" si="0"/>
        <v>0.46378824999999962</v>
      </c>
      <c r="C4">
        <f t="shared" si="1"/>
        <v>0.16232588749999985</v>
      </c>
      <c r="E4" t="s">
        <v>6</v>
      </c>
      <c r="F4">
        <v>0.34054000000000001</v>
      </c>
    </row>
    <row r="5" spans="1:6" x14ac:dyDescent="0.2">
      <c r="A5">
        <v>4</v>
      </c>
      <c r="B5">
        <f t="shared" si="0"/>
        <v>0.46162599999999965</v>
      </c>
      <c r="C5">
        <f t="shared" si="1"/>
        <v>0.16156909999999985</v>
      </c>
      <c r="E5" t="s">
        <v>7</v>
      </c>
      <c r="F5">
        <v>0.47027000000000002</v>
      </c>
    </row>
    <row r="6" spans="1:6" x14ac:dyDescent="0.2">
      <c r="A6">
        <v>5</v>
      </c>
      <c r="B6">
        <f t="shared" si="0"/>
        <v>0.45946374999999967</v>
      </c>
      <c r="C6">
        <f t="shared" si="1"/>
        <v>0.16081231249999989</v>
      </c>
    </row>
    <row r="7" spans="1:6" x14ac:dyDescent="0.2">
      <c r="A7">
        <v>6</v>
      </c>
      <c r="B7">
        <f t="shared" si="0"/>
        <v>0.45730149999999969</v>
      </c>
      <c r="C7">
        <f t="shared" si="1"/>
        <v>0.16005552499999989</v>
      </c>
    </row>
    <row r="8" spans="1:6" x14ac:dyDescent="0.2">
      <c r="A8">
        <v>7</v>
      </c>
      <c r="B8">
        <f t="shared" si="0"/>
        <v>0.45513924999999972</v>
      </c>
      <c r="C8">
        <f t="shared" si="1"/>
        <v>0.1592987374999999</v>
      </c>
    </row>
    <row r="9" spans="1:6" x14ac:dyDescent="0.2">
      <c r="A9">
        <v>8</v>
      </c>
      <c r="B9">
        <f t="shared" si="0"/>
        <v>0.45297699999999974</v>
      </c>
      <c r="C9">
        <f t="shared" si="1"/>
        <v>0.1585419499999999</v>
      </c>
    </row>
    <row r="10" spans="1:6" x14ac:dyDescent="0.2">
      <c r="A10">
        <v>9</v>
      </c>
      <c r="B10">
        <f t="shared" si="0"/>
        <v>0.45081474999999976</v>
      </c>
      <c r="C10">
        <f t="shared" si="1"/>
        <v>0.15778516249999991</v>
      </c>
    </row>
    <row r="11" spans="1:6" x14ac:dyDescent="0.2">
      <c r="A11">
        <v>10</v>
      </c>
      <c r="B11">
        <f t="shared" si="0"/>
        <v>0.44865249999999979</v>
      </c>
      <c r="C11">
        <f t="shared" si="1"/>
        <v>0.15702837499999991</v>
      </c>
    </row>
    <row r="12" spans="1:6" x14ac:dyDescent="0.2">
      <c r="A12">
        <v>11</v>
      </c>
      <c r="B12">
        <f t="shared" si="0"/>
        <v>0.44649024999999981</v>
      </c>
      <c r="C12">
        <f t="shared" si="1"/>
        <v>0.15627158749999992</v>
      </c>
    </row>
    <row r="13" spans="1:6" x14ac:dyDescent="0.2">
      <c r="A13">
        <v>12</v>
      </c>
      <c r="B13">
        <f t="shared" si="0"/>
        <v>0.44432799999999983</v>
      </c>
      <c r="C13">
        <f t="shared" si="1"/>
        <v>0.15551479999999993</v>
      </c>
    </row>
    <row r="14" spans="1:6" x14ac:dyDescent="0.2">
      <c r="A14">
        <v>13</v>
      </c>
      <c r="B14">
        <f t="shared" si="0"/>
        <v>0.44216574999999986</v>
      </c>
      <c r="C14">
        <f t="shared" si="1"/>
        <v>0.15475801249999993</v>
      </c>
    </row>
    <row r="15" spans="1:6" x14ac:dyDescent="0.2">
      <c r="A15">
        <v>14</v>
      </c>
      <c r="B15">
        <f t="shared" si="0"/>
        <v>0.44000349999999988</v>
      </c>
      <c r="C15">
        <f t="shared" si="1"/>
        <v>0.15400122499999994</v>
      </c>
    </row>
    <row r="16" spans="1:6" x14ac:dyDescent="0.2">
      <c r="A16">
        <v>15</v>
      </c>
      <c r="B16">
        <f t="shared" si="0"/>
        <v>0.4378412499999999</v>
      </c>
      <c r="C16">
        <f t="shared" si="1"/>
        <v>0.15324443749999997</v>
      </c>
    </row>
    <row r="17" spans="1:5" x14ac:dyDescent="0.2">
      <c r="A17">
        <v>16</v>
      </c>
      <c r="B17">
        <f t="shared" si="0"/>
        <v>0.43567899999999993</v>
      </c>
      <c r="C17">
        <f t="shared" si="1"/>
        <v>0.15248764999999997</v>
      </c>
    </row>
    <row r="18" spans="1:5" x14ac:dyDescent="0.2">
      <c r="A18">
        <v>17</v>
      </c>
      <c r="B18">
        <f t="shared" si="0"/>
        <v>0.43351674999999995</v>
      </c>
      <c r="C18">
        <f t="shared" si="1"/>
        <v>0.15173086249999998</v>
      </c>
    </row>
    <row r="19" spans="1:5" x14ac:dyDescent="0.2">
      <c r="A19">
        <v>18</v>
      </c>
      <c r="B19">
        <f t="shared" si="0"/>
        <v>0.43135449999999997</v>
      </c>
      <c r="C19">
        <f t="shared" si="1"/>
        <v>0.15097407499999999</v>
      </c>
    </row>
    <row r="20" spans="1:5" x14ac:dyDescent="0.2">
      <c r="A20">
        <v>19</v>
      </c>
      <c r="B20">
        <f>B21-$E$21</f>
        <v>0.42919225</v>
      </c>
      <c r="C20">
        <f t="shared" si="1"/>
        <v>0.15021728749999999</v>
      </c>
      <c r="E20" t="s">
        <v>10</v>
      </c>
    </row>
    <row r="21" spans="1:5" x14ac:dyDescent="0.2">
      <c r="A21">
        <v>20</v>
      </c>
      <c r="B21">
        <v>0.42703000000000002</v>
      </c>
      <c r="C21">
        <f t="shared" si="1"/>
        <v>0.1494605</v>
      </c>
      <c r="E21">
        <f>((($B$61-$B$21)/($A$61-$A$21)))</f>
        <v>-2.1622500000000001E-3</v>
      </c>
    </row>
    <row r="22" spans="1:5" x14ac:dyDescent="0.2">
      <c r="A22">
        <v>21</v>
      </c>
      <c r="B22">
        <f t="shared" ref="B22:B60" si="2">((($B$61-$B$21)/($A$61-$A$21)) *(A22-$A$21)) + $B$21</f>
        <v>0.42486775000000004</v>
      </c>
      <c r="C22">
        <f t="shared" si="1"/>
        <v>0.1487037125</v>
      </c>
    </row>
    <row r="23" spans="1:5" x14ac:dyDescent="0.2">
      <c r="A23">
        <v>22</v>
      </c>
      <c r="B23">
        <f t="shared" si="2"/>
        <v>0.42270550000000001</v>
      </c>
      <c r="C23">
        <f t="shared" si="1"/>
        <v>0.14794692500000001</v>
      </c>
    </row>
    <row r="24" spans="1:5" x14ac:dyDescent="0.2">
      <c r="A24">
        <v>23</v>
      </c>
      <c r="B24">
        <f t="shared" si="2"/>
        <v>0.42054325000000004</v>
      </c>
      <c r="C24">
        <f t="shared" si="1"/>
        <v>0.14719013750000001</v>
      </c>
    </row>
    <row r="25" spans="1:5" x14ac:dyDescent="0.2">
      <c r="A25">
        <v>24</v>
      </c>
      <c r="B25">
        <f t="shared" si="2"/>
        <v>0.418381</v>
      </c>
      <c r="C25">
        <f t="shared" si="1"/>
        <v>0.14643334999999999</v>
      </c>
    </row>
    <row r="26" spans="1:5" x14ac:dyDescent="0.2">
      <c r="A26">
        <v>25</v>
      </c>
      <c r="B26">
        <f t="shared" si="2"/>
        <v>0.41621875000000003</v>
      </c>
      <c r="C26">
        <f t="shared" si="1"/>
        <v>0.1456765625</v>
      </c>
    </row>
    <row r="27" spans="1:5" x14ac:dyDescent="0.2">
      <c r="A27">
        <v>26</v>
      </c>
      <c r="B27">
        <f t="shared" si="2"/>
        <v>0.41405649999999999</v>
      </c>
      <c r="C27">
        <f t="shared" si="1"/>
        <v>0.144919775</v>
      </c>
    </row>
    <row r="28" spans="1:5" x14ac:dyDescent="0.2">
      <c r="A28">
        <v>27</v>
      </c>
      <c r="B28">
        <f t="shared" si="2"/>
        <v>0.41189425000000002</v>
      </c>
      <c r="C28">
        <f t="shared" si="1"/>
        <v>0.14416298750000001</v>
      </c>
    </row>
    <row r="29" spans="1:5" x14ac:dyDescent="0.2">
      <c r="A29">
        <v>28</v>
      </c>
      <c r="B29">
        <f t="shared" si="2"/>
        <v>0.40973200000000004</v>
      </c>
      <c r="C29">
        <f t="shared" si="1"/>
        <v>0.14340620000000001</v>
      </c>
    </row>
    <row r="30" spans="1:5" x14ac:dyDescent="0.2">
      <c r="A30">
        <v>29</v>
      </c>
      <c r="B30">
        <f t="shared" si="2"/>
        <v>0.40756975000000001</v>
      </c>
      <c r="C30">
        <f t="shared" si="1"/>
        <v>0.14264941249999999</v>
      </c>
    </row>
    <row r="31" spans="1:5" x14ac:dyDescent="0.2">
      <c r="A31">
        <v>30</v>
      </c>
      <c r="B31">
        <f t="shared" si="2"/>
        <v>0.40540750000000003</v>
      </c>
      <c r="C31">
        <f t="shared" si="1"/>
        <v>0.14189262499999999</v>
      </c>
    </row>
    <row r="32" spans="1:5" x14ac:dyDescent="0.2">
      <c r="A32">
        <v>31</v>
      </c>
      <c r="B32">
        <f t="shared" si="2"/>
        <v>0.40324525</v>
      </c>
      <c r="C32">
        <f t="shared" si="1"/>
        <v>0.1411358375</v>
      </c>
    </row>
    <row r="33" spans="1:3" x14ac:dyDescent="0.2">
      <c r="A33">
        <v>32</v>
      </c>
      <c r="B33">
        <f t="shared" si="2"/>
        <v>0.40108300000000002</v>
      </c>
      <c r="C33">
        <f t="shared" si="1"/>
        <v>0.14037905000000001</v>
      </c>
    </row>
    <row r="34" spans="1:3" x14ac:dyDescent="0.2">
      <c r="A34">
        <v>33</v>
      </c>
      <c r="B34">
        <f t="shared" si="2"/>
        <v>0.39892075000000005</v>
      </c>
      <c r="C34">
        <f t="shared" si="1"/>
        <v>0.13962226250000001</v>
      </c>
    </row>
    <row r="35" spans="1:3" x14ac:dyDescent="0.2">
      <c r="A35">
        <v>34</v>
      </c>
      <c r="B35">
        <f t="shared" si="2"/>
        <v>0.39675850000000001</v>
      </c>
      <c r="C35">
        <f t="shared" si="1"/>
        <v>0.13886547499999999</v>
      </c>
    </row>
    <row r="36" spans="1:3" x14ac:dyDescent="0.2">
      <c r="A36">
        <v>35</v>
      </c>
      <c r="B36">
        <f t="shared" si="2"/>
        <v>0.39459625000000004</v>
      </c>
      <c r="C36">
        <f t="shared" si="1"/>
        <v>0.13810868749999999</v>
      </c>
    </row>
    <row r="37" spans="1:3" x14ac:dyDescent="0.2">
      <c r="A37">
        <v>36</v>
      </c>
      <c r="B37">
        <f t="shared" si="2"/>
        <v>0.39243400000000001</v>
      </c>
      <c r="C37">
        <f t="shared" si="1"/>
        <v>0.1373519</v>
      </c>
    </row>
    <row r="38" spans="1:3" x14ac:dyDescent="0.2">
      <c r="A38">
        <v>37</v>
      </c>
      <c r="B38">
        <f t="shared" si="2"/>
        <v>0.39027175000000003</v>
      </c>
      <c r="C38">
        <f t="shared" si="1"/>
        <v>0.1365951125</v>
      </c>
    </row>
    <row r="39" spans="1:3" x14ac:dyDescent="0.2">
      <c r="A39">
        <v>38</v>
      </c>
      <c r="B39">
        <f t="shared" si="2"/>
        <v>0.3881095</v>
      </c>
      <c r="C39">
        <f t="shared" si="1"/>
        <v>0.13583832499999998</v>
      </c>
    </row>
    <row r="40" spans="1:3" x14ac:dyDescent="0.2">
      <c r="A40">
        <v>39</v>
      </c>
      <c r="B40">
        <f t="shared" si="2"/>
        <v>0.38594725000000002</v>
      </c>
      <c r="C40">
        <f t="shared" si="1"/>
        <v>0.13508153749999999</v>
      </c>
    </row>
    <row r="41" spans="1:3" x14ac:dyDescent="0.2">
      <c r="A41">
        <v>40</v>
      </c>
      <c r="B41">
        <f t="shared" si="2"/>
        <v>0.38378500000000004</v>
      </c>
      <c r="C41">
        <f t="shared" si="1"/>
        <v>0.13432474999999999</v>
      </c>
    </row>
    <row r="42" spans="1:3" x14ac:dyDescent="0.2">
      <c r="A42">
        <v>41</v>
      </c>
      <c r="B42">
        <f t="shared" si="2"/>
        <v>0.38162275000000001</v>
      </c>
      <c r="C42">
        <f t="shared" si="1"/>
        <v>0.1335679625</v>
      </c>
    </row>
    <row r="43" spans="1:3" x14ac:dyDescent="0.2">
      <c r="A43">
        <v>42</v>
      </c>
      <c r="B43">
        <f t="shared" si="2"/>
        <v>0.37946050000000003</v>
      </c>
      <c r="C43">
        <f t="shared" si="1"/>
        <v>0.132811175</v>
      </c>
    </row>
    <row r="44" spans="1:3" x14ac:dyDescent="0.2">
      <c r="A44">
        <v>43</v>
      </c>
      <c r="B44">
        <f t="shared" si="2"/>
        <v>0.37729825</v>
      </c>
      <c r="C44">
        <f t="shared" si="1"/>
        <v>0.13205438749999998</v>
      </c>
    </row>
    <row r="45" spans="1:3" x14ac:dyDescent="0.2">
      <c r="A45">
        <v>44</v>
      </c>
      <c r="B45">
        <f t="shared" si="2"/>
        <v>0.37513600000000002</v>
      </c>
      <c r="C45">
        <f t="shared" si="1"/>
        <v>0.13129760000000001</v>
      </c>
    </row>
    <row r="46" spans="1:3" x14ac:dyDescent="0.2">
      <c r="A46">
        <v>45</v>
      </c>
      <c r="B46">
        <f t="shared" si="2"/>
        <v>0.37297374999999999</v>
      </c>
      <c r="C46">
        <f t="shared" si="1"/>
        <v>0.13054081249999999</v>
      </c>
    </row>
    <row r="47" spans="1:3" x14ac:dyDescent="0.2">
      <c r="A47">
        <v>46</v>
      </c>
      <c r="B47">
        <f t="shared" si="2"/>
        <v>0.37081150000000002</v>
      </c>
      <c r="C47">
        <f t="shared" si="1"/>
        <v>0.129784025</v>
      </c>
    </row>
    <row r="48" spans="1:3" x14ac:dyDescent="0.2">
      <c r="A48">
        <v>47</v>
      </c>
      <c r="B48">
        <f t="shared" si="2"/>
        <v>0.36864925000000004</v>
      </c>
      <c r="C48">
        <f t="shared" si="1"/>
        <v>0.1290272375</v>
      </c>
    </row>
    <row r="49" spans="1:3" x14ac:dyDescent="0.2">
      <c r="A49">
        <v>48</v>
      </c>
      <c r="B49">
        <f t="shared" si="2"/>
        <v>0.36648700000000001</v>
      </c>
      <c r="C49">
        <f t="shared" si="1"/>
        <v>0.12827045000000001</v>
      </c>
    </row>
    <row r="50" spans="1:3" x14ac:dyDescent="0.2">
      <c r="A50">
        <v>49</v>
      </c>
      <c r="B50">
        <f t="shared" si="2"/>
        <v>0.36432475000000003</v>
      </c>
      <c r="C50">
        <f t="shared" si="1"/>
        <v>0.12751366250000001</v>
      </c>
    </row>
    <row r="51" spans="1:3" x14ac:dyDescent="0.2">
      <c r="A51">
        <v>50</v>
      </c>
      <c r="B51">
        <f t="shared" si="2"/>
        <v>0.3621625</v>
      </c>
      <c r="C51">
        <f t="shared" si="1"/>
        <v>0.12675687499999999</v>
      </c>
    </row>
    <row r="52" spans="1:3" x14ac:dyDescent="0.2">
      <c r="A52">
        <v>51</v>
      </c>
      <c r="B52">
        <f t="shared" si="2"/>
        <v>0.36000025000000002</v>
      </c>
      <c r="C52">
        <f t="shared" si="1"/>
        <v>0.1260000875</v>
      </c>
    </row>
    <row r="53" spans="1:3" x14ac:dyDescent="0.2">
      <c r="A53">
        <v>52</v>
      </c>
      <c r="B53">
        <f t="shared" si="2"/>
        <v>0.35783799999999999</v>
      </c>
      <c r="C53">
        <f t="shared" si="1"/>
        <v>0.1252433</v>
      </c>
    </row>
    <row r="54" spans="1:3" x14ac:dyDescent="0.2">
      <c r="A54">
        <v>53</v>
      </c>
      <c r="B54">
        <f t="shared" si="2"/>
        <v>0.35567575000000001</v>
      </c>
      <c r="C54">
        <f t="shared" si="1"/>
        <v>0.12448651249999999</v>
      </c>
    </row>
    <row r="55" spans="1:3" x14ac:dyDescent="0.2">
      <c r="A55">
        <v>54</v>
      </c>
      <c r="B55">
        <f t="shared" si="2"/>
        <v>0.35351350000000004</v>
      </c>
      <c r="C55">
        <f t="shared" si="1"/>
        <v>0.123729725</v>
      </c>
    </row>
    <row r="56" spans="1:3" x14ac:dyDescent="0.2">
      <c r="A56">
        <v>55</v>
      </c>
      <c r="B56">
        <f t="shared" si="2"/>
        <v>0.35135125</v>
      </c>
      <c r="C56">
        <f t="shared" si="1"/>
        <v>0.12297293749999999</v>
      </c>
    </row>
    <row r="57" spans="1:3" x14ac:dyDescent="0.2">
      <c r="A57">
        <v>56</v>
      </c>
      <c r="B57">
        <f t="shared" si="2"/>
        <v>0.34918900000000003</v>
      </c>
      <c r="C57">
        <f t="shared" si="1"/>
        <v>0.12221615</v>
      </c>
    </row>
    <row r="58" spans="1:3" x14ac:dyDescent="0.2">
      <c r="A58">
        <v>57</v>
      </c>
      <c r="B58">
        <f t="shared" si="2"/>
        <v>0.34702675000000005</v>
      </c>
      <c r="C58">
        <f t="shared" si="1"/>
        <v>0.12145936250000001</v>
      </c>
    </row>
    <row r="59" spans="1:3" x14ac:dyDescent="0.2">
      <c r="A59">
        <v>58</v>
      </c>
      <c r="B59">
        <f t="shared" si="2"/>
        <v>0.34486450000000002</v>
      </c>
      <c r="C59">
        <f t="shared" si="1"/>
        <v>0.12070257499999999</v>
      </c>
    </row>
    <row r="60" spans="1:3" x14ac:dyDescent="0.2">
      <c r="A60">
        <v>59</v>
      </c>
      <c r="B60">
        <f t="shared" si="2"/>
        <v>0.34270224999999999</v>
      </c>
      <c r="C60">
        <f t="shared" si="1"/>
        <v>0.11994578749999998</v>
      </c>
    </row>
    <row r="61" spans="1:3" x14ac:dyDescent="0.2">
      <c r="A61">
        <v>60</v>
      </c>
      <c r="B61">
        <v>0.34054000000000001</v>
      </c>
      <c r="C61">
        <f t="shared" si="1"/>
        <v>0.11918899999999999</v>
      </c>
    </row>
    <row r="62" spans="1:3" x14ac:dyDescent="0.2">
      <c r="A62">
        <v>61</v>
      </c>
      <c r="B62">
        <f t="shared" ref="B62:B100" si="3">((($B$101-$B$61)/($A$101-$A$61)) *(A62-$A$61)) + $B$61</f>
        <v>0.34378324999999998</v>
      </c>
      <c r="C62">
        <f t="shared" si="1"/>
        <v>0.12032413749999998</v>
      </c>
    </row>
    <row r="63" spans="1:3" x14ac:dyDescent="0.2">
      <c r="A63">
        <v>62</v>
      </c>
      <c r="B63">
        <f t="shared" si="3"/>
        <v>0.34702650000000002</v>
      </c>
      <c r="C63">
        <f t="shared" si="1"/>
        <v>0.12145927499999999</v>
      </c>
    </row>
    <row r="64" spans="1:3" x14ac:dyDescent="0.2">
      <c r="A64">
        <v>63</v>
      </c>
      <c r="B64">
        <f t="shared" si="3"/>
        <v>0.35026974999999999</v>
      </c>
      <c r="C64">
        <f t="shared" si="1"/>
        <v>0.12259441249999999</v>
      </c>
    </row>
    <row r="65" spans="1:3" x14ac:dyDescent="0.2">
      <c r="A65">
        <v>64</v>
      </c>
      <c r="B65">
        <f t="shared" si="3"/>
        <v>0.35351300000000002</v>
      </c>
      <c r="C65">
        <f t="shared" si="1"/>
        <v>0.12372954999999999</v>
      </c>
    </row>
    <row r="66" spans="1:3" x14ac:dyDescent="0.2">
      <c r="A66">
        <v>65</v>
      </c>
      <c r="B66">
        <f t="shared" si="3"/>
        <v>0.35675625</v>
      </c>
      <c r="C66">
        <f t="shared" si="1"/>
        <v>0.12486468749999999</v>
      </c>
    </row>
    <row r="67" spans="1:3" x14ac:dyDescent="0.2">
      <c r="A67">
        <v>66</v>
      </c>
      <c r="B67">
        <f t="shared" si="3"/>
        <v>0.35999950000000003</v>
      </c>
      <c r="C67">
        <f t="shared" ref="C67:C130" si="4">B67*0.35</f>
        <v>0.12599982500000001</v>
      </c>
    </row>
    <row r="68" spans="1:3" x14ac:dyDescent="0.2">
      <c r="A68">
        <v>67</v>
      </c>
      <c r="B68">
        <f t="shared" si="3"/>
        <v>0.36324275</v>
      </c>
      <c r="C68">
        <f t="shared" si="4"/>
        <v>0.1271349625</v>
      </c>
    </row>
    <row r="69" spans="1:3" x14ac:dyDescent="0.2">
      <c r="A69">
        <v>68</v>
      </c>
      <c r="B69">
        <f t="shared" si="3"/>
        <v>0.36648600000000003</v>
      </c>
      <c r="C69">
        <f t="shared" si="4"/>
        <v>0.1282701</v>
      </c>
    </row>
    <row r="70" spans="1:3" x14ac:dyDescent="0.2">
      <c r="A70">
        <v>69</v>
      </c>
      <c r="B70">
        <f t="shared" si="3"/>
        <v>0.36972925000000001</v>
      </c>
      <c r="C70">
        <f t="shared" si="4"/>
        <v>0.12940523749999999</v>
      </c>
    </row>
    <row r="71" spans="1:3" x14ac:dyDescent="0.2">
      <c r="A71">
        <v>70</v>
      </c>
      <c r="B71">
        <f t="shared" si="3"/>
        <v>0.37297250000000004</v>
      </c>
      <c r="C71">
        <f t="shared" si="4"/>
        <v>0.13054037500000001</v>
      </c>
    </row>
    <row r="72" spans="1:3" x14ac:dyDescent="0.2">
      <c r="A72">
        <v>71</v>
      </c>
      <c r="B72">
        <f t="shared" si="3"/>
        <v>0.37621575000000002</v>
      </c>
      <c r="C72">
        <f t="shared" si="4"/>
        <v>0.13167551250000001</v>
      </c>
    </row>
    <row r="73" spans="1:3" x14ac:dyDescent="0.2">
      <c r="A73">
        <v>72</v>
      </c>
      <c r="B73">
        <f t="shared" si="3"/>
        <v>0.37945899999999999</v>
      </c>
      <c r="C73">
        <f t="shared" si="4"/>
        <v>0.13281064999999997</v>
      </c>
    </row>
    <row r="74" spans="1:3" x14ac:dyDescent="0.2">
      <c r="A74">
        <v>73</v>
      </c>
      <c r="B74">
        <f t="shared" si="3"/>
        <v>0.38270225000000002</v>
      </c>
      <c r="C74">
        <f t="shared" si="4"/>
        <v>0.1339457875</v>
      </c>
    </row>
    <row r="75" spans="1:3" x14ac:dyDescent="0.2">
      <c r="A75">
        <v>74</v>
      </c>
      <c r="B75">
        <f t="shared" si="3"/>
        <v>0.3859455</v>
      </c>
      <c r="C75">
        <f t="shared" si="4"/>
        <v>0.13508092499999999</v>
      </c>
    </row>
    <row r="76" spans="1:3" x14ac:dyDescent="0.2">
      <c r="A76">
        <v>75</v>
      </c>
      <c r="B76">
        <f t="shared" si="3"/>
        <v>0.38918875000000003</v>
      </c>
      <c r="C76">
        <f t="shared" si="4"/>
        <v>0.13621606250000001</v>
      </c>
    </row>
    <row r="77" spans="1:3" x14ac:dyDescent="0.2">
      <c r="A77">
        <v>76</v>
      </c>
      <c r="B77">
        <f t="shared" si="3"/>
        <v>0.392432</v>
      </c>
      <c r="C77">
        <f t="shared" si="4"/>
        <v>0.13735119999999998</v>
      </c>
    </row>
    <row r="78" spans="1:3" x14ac:dyDescent="0.2">
      <c r="A78">
        <v>77</v>
      </c>
      <c r="B78">
        <f t="shared" si="3"/>
        <v>0.39567525000000003</v>
      </c>
      <c r="C78">
        <f t="shared" si="4"/>
        <v>0.1384863375</v>
      </c>
    </row>
    <row r="79" spans="1:3" x14ac:dyDescent="0.2">
      <c r="A79">
        <v>78</v>
      </c>
      <c r="B79">
        <f t="shared" si="3"/>
        <v>0.39891850000000001</v>
      </c>
      <c r="C79">
        <f t="shared" si="4"/>
        <v>0.13962147499999999</v>
      </c>
    </row>
    <row r="80" spans="1:3" x14ac:dyDescent="0.2">
      <c r="A80">
        <v>79</v>
      </c>
      <c r="B80">
        <f t="shared" si="3"/>
        <v>0.40216175000000004</v>
      </c>
      <c r="C80">
        <f t="shared" si="4"/>
        <v>0.14075661250000002</v>
      </c>
    </row>
    <row r="81" spans="1:3" x14ac:dyDescent="0.2">
      <c r="A81">
        <v>80</v>
      </c>
      <c r="B81">
        <f t="shared" si="3"/>
        <v>0.40540500000000002</v>
      </c>
      <c r="C81">
        <f t="shared" si="4"/>
        <v>0.14189174999999998</v>
      </c>
    </row>
    <row r="82" spans="1:3" x14ac:dyDescent="0.2">
      <c r="A82">
        <v>81</v>
      </c>
      <c r="B82">
        <f t="shared" si="3"/>
        <v>0.40864825000000005</v>
      </c>
      <c r="C82">
        <f t="shared" si="4"/>
        <v>0.14302688750000001</v>
      </c>
    </row>
    <row r="83" spans="1:3" x14ac:dyDescent="0.2">
      <c r="A83">
        <v>82</v>
      </c>
      <c r="B83">
        <f t="shared" si="3"/>
        <v>0.41189150000000002</v>
      </c>
      <c r="C83">
        <f t="shared" si="4"/>
        <v>0.144162025</v>
      </c>
    </row>
    <row r="84" spans="1:3" x14ac:dyDescent="0.2">
      <c r="A84">
        <v>83</v>
      </c>
      <c r="B84">
        <f t="shared" si="3"/>
        <v>0.41513475</v>
      </c>
      <c r="C84">
        <f t="shared" si="4"/>
        <v>0.14529716249999999</v>
      </c>
    </row>
    <row r="85" spans="1:3" x14ac:dyDescent="0.2">
      <c r="A85">
        <v>84</v>
      </c>
      <c r="B85">
        <f t="shared" si="3"/>
        <v>0.41837800000000003</v>
      </c>
      <c r="C85">
        <f t="shared" si="4"/>
        <v>0.14643229999999999</v>
      </c>
    </row>
    <row r="86" spans="1:3" x14ac:dyDescent="0.2">
      <c r="A86">
        <v>85</v>
      </c>
      <c r="B86">
        <f t="shared" si="3"/>
        <v>0.42162125</v>
      </c>
      <c r="C86">
        <f t="shared" si="4"/>
        <v>0.14756743749999998</v>
      </c>
    </row>
    <row r="87" spans="1:3" x14ac:dyDescent="0.2">
      <c r="A87">
        <v>86</v>
      </c>
      <c r="B87">
        <f t="shared" si="3"/>
        <v>0.42486450000000003</v>
      </c>
      <c r="C87">
        <f t="shared" si="4"/>
        <v>0.148702575</v>
      </c>
    </row>
    <row r="88" spans="1:3" x14ac:dyDescent="0.2">
      <c r="A88">
        <v>87</v>
      </c>
      <c r="B88">
        <f t="shared" si="3"/>
        <v>0.42810775000000001</v>
      </c>
      <c r="C88">
        <f t="shared" si="4"/>
        <v>0.1498377125</v>
      </c>
    </row>
    <row r="89" spans="1:3" x14ac:dyDescent="0.2">
      <c r="A89">
        <v>88</v>
      </c>
      <c r="B89">
        <f t="shared" si="3"/>
        <v>0.43135100000000004</v>
      </c>
      <c r="C89">
        <f t="shared" si="4"/>
        <v>0.15097284999999999</v>
      </c>
    </row>
    <row r="90" spans="1:3" x14ac:dyDescent="0.2">
      <c r="A90">
        <v>89</v>
      </c>
      <c r="B90">
        <f t="shared" si="3"/>
        <v>0.43459425000000002</v>
      </c>
      <c r="C90">
        <f t="shared" si="4"/>
        <v>0.15210798749999999</v>
      </c>
    </row>
    <row r="91" spans="1:3" x14ac:dyDescent="0.2">
      <c r="A91">
        <v>90</v>
      </c>
      <c r="B91">
        <f t="shared" si="3"/>
        <v>0.43783749999999999</v>
      </c>
      <c r="C91">
        <f t="shared" si="4"/>
        <v>0.15324312499999998</v>
      </c>
    </row>
    <row r="92" spans="1:3" x14ac:dyDescent="0.2">
      <c r="A92">
        <v>91</v>
      </c>
      <c r="B92">
        <f t="shared" si="3"/>
        <v>0.44108075000000002</v>
      </c>
      <c r="C92">
        <f t="shared" si="4"/>
        <v>0.1543782625</v>
      </c>
    </row>
    <row r="93" spans="1:3" x14ac:dyDescent="0.2">
      <c r="A93">
        <v>92</v>
      </c>
      <c r="B93">
        <f t="shared" si="3"/>
        <v>0.44432400000000005</v>
      </c>
      <c r="C93">
        <f t="shared" si="4"/>
        <v>0.1555134</v>
      </c>
    </row>
    <row r="94" spans="1:3" x14ac:dyDescent="0.2">
      <c r="A94">
        <v>93</v>
      </c>
      <c r="B94">
        <f t="shared" si="3"/>
        <v>0.44756725000000003</v>
      </c>
      <c r="C94">
        <f t="shared" si="4"/>
        <v>0.15664853749999999</v>
      </c>
    </row>
    <row r="95" spans="1:3" x14ac:dyDescent="0.2">
      <c r="A95">
        <v>94</v>
      </c>
      <c r="B95">
        <f t="shared" si="3"/>
        <v>0.4508105</v>
      </c>
      <c r="C95">
        <f t="shared" si="4"/>
        <v>0.15778367499999998</v>
      </c>
    </row>
    <row r="96" spans="1:3" x14ac:dyDescent="0.2">
      <c r="A96">
        <v>95</v>
      </c>
      <c r="B96">
        <f t="shared" si="3"/>
        <v>0.45405375000000003</v>
      </c>
      <c r="C96">
        <f t="shared" si="4"/>
        <v>0.15891881250000001</v>
      </c>
    </row>
    <row r="97" spans="1:5" x14ac:dyDescent="0.2">
      <c r="A97">
        <v>96</v>
      </c>
      <c r="B97">
        <f t="shared" si="3"/>
        <v>0.45729700000000001</v>
      </c>
      <c r="C97">
        <f t="shared" si="4"/>
        <v>0.16005395</v>
      </c>
    </row>
    <row r="98" spans="1:5" x14ac:dyDescent="0.2">
      <c r="A98">
        <v>97</v>
      </c>
      <c r="B98">
        <f t="shared" si="3"/>
        <v>0.46054025000000004</v>
      </c>
      <c r="C98">
        <f t="shared" si="4"/>
        <v>0.16118908749999999</v>
      </c>
    </row>
    <row r="99" spans="1:5" x14ac:dyDescent="0.2">
      <c r="A99">
        <v>98</v>
      </c>
      <c r="B99">
        <f t="shared" si="3"/>
        <v>0.46378350000000002</v>
      </c>
      <c r="C99">
        <f t="shared" si="4"/>
        <v>0.16232422499999999</v>
      </c>
      <c r="E99" t="s">
        <v>10</v>
      </c>
    </row>
    <row r="100" spans="1:5" x14ac:dyDescent="0.2">
      <c r="A100">
        <v>99</v>
      </c>
      <c r="B100">
        <f t="shared" si="3"/>
        <v>0.46702675000000005</v>
      </c>
      <c r="C100">
        <f t="shared" si="4"/>
        <v>0.16345936250000001</v>
      </c>
      <c r="E100">
        <f>((($B$101-$B$61)/($A$101-$A$61)))</f>
        <v>3.2432500000000005E-3</v>
      </c>
    </row>
    <row r="101" spans="1:5" x14ac:dyDescent="0.2">
      <c r="A101">
        <v>100</v>
      </c>
      <c r="B101">
        <v>0.47027000000000002</v>
      </c>
      <c r="C101">
        <f t="shared" si="4"/>
        <v>0.1645945</v>
      </c>
    </row>
    <row r="102" spans="1:5" x14ac:dyDescent="0.2">
      <c r="A102">
        <v>101</v>
      </c>
      <c r="B102">
        <f>B101+$E$100</f>
        <v>0.47351325</v>
      </c>
      <c r="C102">
        <f t="shared" si="4"/>
        <v>0.1657296375</v>
      </c>
    </row>
    <row r="103" spans="1:5" x14ac:dyDescent="0.2">
      <c r="A103">
        <v>102</v>
      </c>
      <c r="B103">
        <f t="shared" ref="B103:B151" si="5">B102+$E$100</f>
        <v>0.47675649999999997</v>
      </c>
      <c r="C103">
        <f t="shared" si="4"/>
        <v>0.16686477499999999</v>
      </c>
    </row>
    <row r="104" spans="1:5" x14ac:dyDescent="0.2">
      <c r="A104">
        <v>103</v>
      </c>
      <c r="B104">
        <f t="shared" si="5"/>
        <v>0.47999974999999995</v>
      </c>
      <c r="C104">
        <f t="shared" si="4"/>
        <v>0.16799991249999996</v>
      </c>
    </row>
    <row r="105" spans="1:5" x14ac:dyDescent="0.2">
      <c r="A105">
        <v>104</v>
      </c>
      <c r="B105">
        <f t="shared" si="5"/>
        <v>0.48324299999999992</v>
      </c>
      <c r="C105">
        <f t="shared" si="4"/>
        <v>0.16913504999999995</v>
      </c>
    </row>
    <row r="106" spans="1:5" x14ac:dyDescent="0.2">
      <c r="A106">
        <v>105</v>
      </c>
      <c r="B106">
        <f t="shared" si="5"/>
        <v>0.4864862499999999</v>
      </c>
      <c r="C106">
        <f t="shared" si="4"/>
        <v>0.17027018749999995</v>
      </c>
    </row>
    <row r="107" spans="1:5" x14ac:dyDescent="0.2">
      <c r="A107">
        <v>106</v>
      </c>
      <c r="B107">
        <f t="shared" si="5"/>
        <v>0.48972949999999987</v>
      </c>
      <c r="C107">
        <f t="shared" si="4"/>
        <v>0.17140532499999994</v>
      </c>
    </row>
    <row r="108" spans="1:5" x14ac:dyDescent="0.2">
      <c r="A108">
        <v>107</v>
      </c>
      <c r="B108">
        <f t="shared" si="5"/>
        <v>0.49297274999999985</v>
      </c>
      <c r="C108">
        <f t="shared" si="4"/>
        <v>0.17254046249999994</v>
      </c>
    </row>
    <row r="109" spans="1:5" x14ac:dyDescent="0.2">
      <c r="A109">
        <v>108</v>
      </c>
      <c r="B109">
        <f t="shared" si="5"/>
        <v>0.49621599999999982</v>
      </c>
      <c r="C109">
        <f t="shared" si="4"/>
        <v>0.17367559999999993</v>
      </c>
    </row>
    <row r="110" spans="1:5" x14ac:dyDescent="0.2">
      <c r="A110">
        <v>109</v>
      </c>
      <c r="B110">
        <f t="shared" si="5"/>
        <v>0.4994592499999998</v>
      </c>
      <c r="C110">
        <f t="shared" si="4"/>
        <v>0.17481073749999992</v>
      </c>
    </row>
    <row r="111" spans="1:5" x14ac:dyDescent="0.2">
      <c r="A111">
        <v>110</v>
      </c>
      <c r="B111">
        <f t="shared" si="5"/>
        <v>0.50270249999999983</v>
      </c>
      <c r="C111">
        <f t="shared" si="4"/>
        <v>0.17594587499999992</v>
      </c>
    </row>
    <row r="112" spans="1:5" x14ac:dyDescent="0.2">
      <c r="A112">
        <v>111</v>
      </c>
      <c r="B112">
        <f t="shared" si="5"/>
        <v>0.50594574999999986</v>
      </c>
      <c r="C112">
        <f t="shared" si="4"/>
        <v>0.17708101249999994</v>
      </c>
    </row>
    <row r="113" spans="1:3" x14ac:dyDescent="0.2">
      <c r="A113">
        <v>112</v>
      </c>
      <c r="B113">
        <f t="shared" si="5"/>
        <v>0.50918899999999989</v>
      </c>
      <c r="C113">
        <f t="shared" si="4"/>
        <v>0.17821614999999996</v>
      </c>
    </row>
    <row r="114" spans="1:3" x14ac:dyDescent="0.2">
      <c r="A114">
        <v>113</v>
      </c>
      <c r="B114">
        <f t="shared" si="5"/>
        <v>0.51243224999999992</v>
      </c>
      <c r="C114">
        <f t="shared" si="4"/>
        <v>0.17935128749999996</v>
      </c>
    </row>
    <row r="115" spans="1:3" x14ac:dyDescent="0.2">
      <c r="A115">
        <v>114</v>
      </c>
      <c r="B115">
        <f t="shared" si="5"/>
        <v>0.51567549999999995</v>
      </c>
      <c r="C115">
        <f t="shared" si="4"/>
        <v>0.18048642499999998</v>
      </c>
    </row>
    <row r="116" spans="1:3" x14ac:dyDescent="0.2">
      <c r="A116">
        <v>115</v>
      </c>
      <c r="B116">
        <f t="shared" si="5"/>
        <v>0.51891874999999998</v>
      </c>
      <c r="C116">
        <f t="shared" si="4"/>
        <v>0.18162156249999997</v>
      </c>
    </row>
    <row r="117" spans="1:3" x14ac:dyDescent="0.2">
      <c r="A117">
        <v>116</v>
      </c>
      <c r="B117">
        <f t="shared" si="5"/>
        <v>0.52216200000000002</v>
      </c>
      <c r="C117">
        <f t="shared" si="4"/>
        <v>0.18275669999999999</v>
      </c>
    </row>
    <row r="118" spans="1:3" x14ac:dyDescent="0.2">
      <c r="A118">
        <v>117</v>
      </c>
      <c r="B118">
        <f t="shared" si="5"/>
        <v>0.52540525000000005</v>
      </c>
      <c r="C118">
        <f t="shared" si="4"/>
        <v>0.18389183750000002</v>
      </c>
    </row>
    <row r="119" spans="1:3" x14ac:dyDescent="0.2">
      <c r="A119">
        <v>118</v>
      </c>
      <c r="B119">
        <f t="shared" si="5"/>
        <v>0.52864850000000008</v>
      </c>
      <c r="C119">
        <f t="shared" si="4"/>
        <v>0.18502697500000001</v>
      </c>
    </row>
    <row r="120" spans="1:3" x14ac:dyDescent="0.2">
      <c r="A120">
        <v>119</v>
      </c>
      <c r="B120">
        <f t="shared" si="5"/>
        <v>0.53189175000000011</v>
      </c>
      <c r="C120">
        <f t="shared" si="4"/>
        <v>0.18616211250000003</v>
      </c>
    </row>
    <row r="121" spans="1:3" x14ac:dyDescent="0.2">
      <c r="A121">
        <v>120</v>
      </c>
      <c r="B121">
        <f t="shared" si="5"/>
        <v>0.53513500000000014</v>
      </c>
      <c r="C121">
        <f t="shared" si="4"/>
        <v>0.18729725000000003</v>
      </c>
    </row>
    <row r="122" spans="1:3" x14ac:dyDescent="0.2">
      <c r="A122">
        <v>121</v>
      </c>
      <c r="B122">
        <f t="shared" si="5"/>
        <v>0.53837825000000017</v>
      </c>
      <c r="C122">
        <f t="shared" si="4"/>
        <v>0.18843238750000005</v>
      </c>
    </row>
    <row r="123" spans="1:3" x14ac:dyDescent="0.2">
      <c r="A123">
        <v>122</v>
      </c>
      <c r="B123">
        <f t="shared" si="5"/>
        <v>0.5416215000000002</v>
      </c>
      <c r="C123">
        <f t="shared" si="4"/>
        <v>0.18956752500000007</v>
      </c>
    </row>
    <row r="124" spans="1:3" x14ac:dyDescent="0.2">
      <c r="A124">
        <v>123</v>
      </c>
      <c r="B124">
        <f t="shared" si="5"/>
        <v>0.54486475000000023</v>
      </c>
      <c r="C124">
        <f t="shared" si="4"/>
        <v>0.19070266250000006</v>
      </c>
    </row>
    <row r="125" spans="1:3" x14ac:dyDescent="0.2">
      <c r="A125">
        <v>124</v>
      </c>
      <c r="B125">
        <f t="shared" si="5"/>
        <v>0.54810800000000026</v>
      </c>
      <c r="C125">
        <f t="shared" si="4"/>
        <v>0.19183780000000009</v>
      </c>
    </row>
    <row r="126" spans="1:3" x14ac:dyDescent="0.2">
      <c r="A126">
        <v>125</v>
      </c>
      <c r="B126">
        <f t="shared" si="5"/>
        <v>0.55135125000000029</v>
      </c>
      <c r="C126">
        <f t="shared" si="4"/>
        <v>0.19297293750000008</v>
      </c>
    </row>
    <row r="127" spans="1:3" x14ac:dyDescent="0.2">
      <c r="A127">
        <v>126</v>
      </c>
      <c r="B127">
        <f t="shared" si="5"/>
        <v>0.55459450000000032</v>
      </c>
      <c r="C127">
        <f t="shared" si="4"/>
        <v>0.1941080750000001</v>
      </c>
    </row>
    <row r="128" spans="1:3" x14ac:dyDescent="0.2">
      <c r="A128">
        <v>127</v>
      </c>
      <c r="B128">
        <f t="shared" si="5"/>
        <v>0.55783775000000035</v>
      </c>
      <c r="C128">
        <f t="shared" si="4"/>
        <v>0.19524321250000012</v>
      </c>
    </row>
    <row r="129" spans="1:3" x14ac:dyDescent="0.2">
      <c r="A129">
        <v>128</v>
      </c>
      <c r="B129">
        <f t="shared" si="5"/>
        <v>0.56108100000000038</v>
      </c>
      <c r="C129">
        <f t="shared" si="4"/>
        <v>0.19637835000000012</v>
      </c>
    </row>
    <row r="130" spans="1:3" x14ac:dyDescent="0.2">
      <c r="A130">
        <v>129</v>
      </c>
      <c r="B130">
        <f t="shared" si="5"/>
        <v>0.56432425000000042</v>
      </c>
      <c r="C130">
        <f t="shared" si="4"/>
        <v>0.19751348750000014</v>
      </c>
    </row>
    <row r="131" spans="1:3" x14ac:dyDescent="0.2">
      <c r="A131">
        <v>130</v>
      </c>
      <c r="B131">
        <f t="shared" si="5"/>
        <v>0.56756750000000045</v>
      </c>
      <c r="C131">
        <f t="shared" ref="C131:C151" si="6">B131*0.35</f>
        <v>0.19864862500000013</v>
      </c>
    </row>
    <row r="132" spans="1:3" x14ac:dyDescent="0.2">
      <c r="A132">
        <v>131</v>
      </c>
      <c r="B132">
        <f t="shared" si="5"/>
        <v>0.57081075000000048</v>
      </c>
      <c r="C132">
        <f t="shared" si="6"/>
        <v>0.19978376250000016</v>
      </c>
    </row>
    <row r="133" spans="1:3" x14ac:dyDescent="0.2">
      <c r="A133">
        <v>132</v>
      </c>
      <c r="B133">
        <f t="shared" si="5"/>
        <v>0.57405400000000051</v>
      </c>
      <c r="C133">
        <f t="shared" si="6"/>
        <v>0.20091890000000018</v>
      </c>
    </row>
    <row r="134" spans="1:3" x14ac:dyDescent="0.2">
      <c r="A134">
        <v>133</v>
      </c>
      <c r="B134">
        <f t="shared" si="5"/>
        <v>0.57729725000000054</v>
      </c>
      <c r="C134">
        <f t="shared" si="6"/>
        <v>0.20205403750000017</v>
      </c>
    </row>
    <row r="135" spans="1:3" x14ac:dyDescent="0.2">
      <c r="A135">
        <v>134</v>
      </c>
      <c r="B135">
        <f t="shared" si="5"/>
        <v>0.58054050000000057</v>
      </c>
      <c r="C135">
        <f t="shared" si="6"/>
        <v>0.20318917500000019</v>
      </c>
    </row>
    <row r="136" spans="1:3" x14ac:dyDescent="0.2">
      <c r="A136">
        <v>135</v>
      </c>
      <c r="B136">
        <f t="shared" si="5"/>
        <v>0.5837837500000006</v>
      </c>
      <c r="C136">
        <f t="shared" si="6"/>
        <v>0.20432431250000019</v>
      </c>
    </row>
    <row r="137" spans="1:3" x14ac:dyDescent="0.2">
      <c r="A137">
        <v>136</v>
      </c>
      <c r="B137">
        <f t="shared" si="5"/>
        <v>0.58702700000000063</v>
      </c>
      <c r="C137">
        <f t="shared" si="6"/>
        <v>0.20545945000000021</v>
      </c>
    </row>
    <row r="138" spans="1:3" x14ac:dyDescent="0.2">
      <c r="A138">
        <v>137</v>
      </c>
      <c r="B138">
        <f t="shared" si="5"/>
        <v>0.59027025000000066</v>
      </c>
      <c r="C138">
        <f t="shared" si="6"/>
        <v>0.20659458750000023</v>
      </c>
    </row>
    <row r="139" spans="1:3" x14ac:dyDescent="0.2">
      <c r="A139">
        <v>138</v>
      </c>
      <c r="B139">
        <f t="shared" si="5"/>
        <v>0.59351350000000069</v>
      </c>
      <c r="C139">
        <f t="shared" si="6"/>
        <v>0.20772972500000023</v>
      </c>
    </row>
    <row r="140" spans="1:3" x14ac:dyDescent="0.2">
      <c r="A140">
        <v>139</v>
      </c>
      <c r="B140">
        <f t="shared" si="5"/>
        <v>0.59675675000000072</v>
      </c>
      <c r="C140">
        <f t="shared" si="6"/>
        <v>0.20886486250000025</v>
      </c>
    </row>
    <row r="141" spans="1:3" x14ac:dyDescent="0.2">
      <c r="A141">
        <v>140</v>
      </c>
      <c r="B141">
        <f t="shared" si="5"/>
        <v>0.60000000000000075</v>
      </c>
      <c r="C141">
        <f t="shared" si="6"/>
        <v>0.21000000000000024</v>
      </c>
    </row>
    <row r="142" spans="1:3" x14ac:dyDescent="0.2">
      <c r="A142">
        <v>141</v>
      </c>
      <c r="B142">
        <f t="shared" si="5"/>
        <v>0.60324325000000079</v>
      </c>
      <c r="C142">
        <f t="shared" si="6"/>
        <v>0.21113513750000026</v>
      </c>
    </row>
    <row r="143" spans="1:3" x14ac:dyDescent="0.2">
      <c r="A143">
        <v>142</v>
      </c>
      <c r="B143">
        <f t="shared" si="5"/>
        <v>0.60648650000000082</v>
      </c>
      <c r="C143">
        <f t="shared" si="6"/>
        <v>0.21227027500000029</v>
      </c>
    </row>
    <row r="144" spans="1:3" x14ac:dyDescent="0.2">
      <c r="A144">
        <v>143</v>
      </c>
      <c r="B144">
        <f t="shared" si="5"/>
        <v>0.60972975000000085</v>
      </c>
      <c r="C144">
        <f t="shared" si="6"/>
        <v>0.21340541250000028</v>
      </c>
    </row>
    <row r="145" spans="1:3" x14ac:dyDescent="0.2">
      <c r="A145">
        <v>144</v>
      </c>
      <c r="B145">
        <f t="shared" si="5"/>
        <v>0.61297300000000088</v>
      </c>
      <c r="C145">
        <f t="shared" si="6"/>
        <v>0.2145405500000003</v>
      </c>
    </row>
    <row r="146" spans="1:3" x14ac:dyDescent="0.2">
      <c r="A146">
        <v>145</v>
      </c>
      <c r="B146">
        <f t="shared" si="5"/>
        <v>0.61621625000000091</v>
      </c>
      <c r="C146">
        <f t="shared" si="6"/>
        <v>0.2156756875000003</v>
      </c>
    </row>
    <row r="147" spans="1:3" x14ac:dyDescent="0.2">
      <c r="A147">
        <v>146</v>
      </c>
      <c r="B147">
        <f t="shared" si="5"/>
        <v>0.61945950000000094</v>
      </c>
      <c r="C147">
        <f t="shared" si="6"/>
        <v>0.21681082500000032</v>
      </c>
    </row>
    <row r="148" spans="1:3" x14ac:dyDescent="0.2">
      <c r="A148">
        <v>147</v>
      </c>
      <c r="B148">
        <f t="shared" si="5"/>
        <v>0.62270275000000097</v>
      </c>
      <c r="C148">
        <f t="shared" si="6"/>
        <v>0.21794596250000034</v>
      </c>
    </row>
    <row r="149" spans="1:3" x14ac:dyDescent="0.2">
      <c r="A149">
        <v>148</v>
      </c>
      <c r="B149">
        <f t="shared" si="5"/>
        <v>0.625946000000001</v>
      </c>
      <c r="C149">
        <f t="shared" si="6"/>
        <v>0.21908110000000033</v>
      </c>
    </row>
    <row r="150" spans="1:3" x14ac:dyDescent="0.2">
      <c r="A150">
        <v>149</v>
      </c>
      <c r="B150">
        <f t="shared" si="5"/>
        <v>0.62918925000000103</v>
      </c>
      <c r="C150">
        <f t="shared" si="6"/>
        <v>0.22021623750000036</v>
      </c>
    </row>
    <row r="151" spans="1:3" x14ac:dyDescent="0.2">
      <c r="A151">
        <v>150</v>
      </c>
      <c r="B151">
        <f t="shared" si="5"/>
        <v>0.63243250000000106</v>
      </c>
      <c r="C151">
        <f t="shared" si="6"/>
        <v>0.22135137500000035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F151"/>
  <sheetViews>
    <sheetView topLeftCell="A7" workbookViewId="0">
      <selection activeCell="F25" sqref="F25"/>
    </sheetView>
  </sheetViews>
  <sheetFormatPr baseColWidth="10" defaultColWidth="8.83203125" defaultRowHeight="15" x14ac:dyDescent="0.2"/>
  <cols>
    <col min="1" max="1" width="10.5" customWidth="1"/>
    <col min="2" max="2" width="11.1640625" customWidth="1"/>
    <col min="3" max="3" width="13.6640625" customWidth="1"/>
    <col min="5" max="5" width="12.33203125" bestFit="1" customWidth="1"/>
    <col min="6" max="6" width="12.5" bestFit="1" customWidth="1"/>
    <col min="7" max="7" width="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2">
      <c r="A2">
        <v>1</v>
      </c>
      <c r="B2">
        <f t="shared" ref="B2:B19" si="0">B3-$E$21</f>
        <v>0.47989874999999976</v>
      </c>
      <c r="C2">
        <f>B2*0.35</f>
        <v>0.16796456249999991</v>
      </c>
      <c r="E2" t="s">
        <v>4</v>
      </c>
      <c r="F2">
        <v>0.46666999999999997</v>
      </c>
    </row>
    <row r="3" spans="1:6" x14ac:dyDescent="0.2">
      <c r="A3">
        <v>2</v>
      </c>
      <c r="B3">
        <f t="shared" si="0"/>
        <v>0.47839249999999978</v>
      </c>
      <c r="C3">
        <f t="shared" ref="C3:C66" si="1">B3*0.35</f>
        <v>0.16743737499999992</v>
      </c>
      <c r="E3" t="s">
        <v>5</v>
      </c>
      <c r="F3">
        <v>0.45128000000000001</v>
      </c>
    </row>
    <row r="4" spans="1:6" x14ac:dyDescent="0.2">
      <c r="A4">
        <v>3</v>
      </c>
      <c r="B4">
        <f t="shared" si="0"/>
        <v>0.47688624999999979</v>
      </c>
      <c r="C4">
        <f t="shared" si="1"/>
        <v>0.16691018749999992</v>
      </c>
      <c r="E4" t="s">
        <v>6</v>
      </c>
      <c r="F4">
        <v>0.39102999999999999</v>
      </c>
    </row>
    <row r="5" spans="1:6" x14ac:dyDescent="0.2">
      <c r="A5">
        <v>4</v>
      </c>
      <c r="B5">
        <f t="shared" si="0"/>
        <v>0.4753799999999998</v>
      </c>
      <c r="C5">
        <f t="shared" si="1"/>
        <v>0.16638299999999992</v>
      </c>
      <c r="E5" t="s">
        <v>7</v>
      </c>
      <c r="F5">
        <v>0.53969999999999996</v>
      </c>
    </row>
    <row r="6" spans="1:6" x14ac:dyDescent="0.2">
      <c r="A6">
        <v>5</v>
      </c>
      <c r="B6">
        <f t="shared" si="0"/>
        <v>0.47387374999999982</v>
      </c>
      <c r="C6">
        <f t="shared" si="1"/>
        <v>0.16585581249999992</v>
      </c>
    </row>
    <row r="7" spans="1:6" x14ac:dyDescent="0.2">
      <c r="A7">
        <v>6</v>
      </c>
      <c r="B7">
        <f t="shared" si="0"/>
        <v>0.47236749999999983</v>
      </c>
      <c r="C7">
        <f t="shared" si="1"/>
        <v>0.16532862499999992</v>
      </c>
    </row>
    <row r="8" spans="1:6" x14ac:dyDescent="0.2">
      <c r="A8">
        <v>7</v>
      </c>
      <c r="B8">
        <f t="shared" si="0"/>
        <v>0.47086124999999984</v>
      </c>
      <c r="C8">
        <f t="shared" si="1"/>
        <v>0.16480143749999993</v>
      </c>
    </row>
    <row r="9" spans="1:6" x14ac:dyDescent="0.2">
      <c r="A9">
        <v>8</v>
      </c>
      <c r="B9">
        <f t="shared" si="0"/>
        <v>0.46935499999999986</v>
      </c>
      <c r="C9">
        <f t="shared" si="1"/>
        <v>0.16427424999999993</v>
      </c>
    </row>
    <row r="10" spans="1:6" x14ac:dyDescent="0.2">
      <c r="A10">
        <v>9</v>
      </c>
      <c r="B10">
        <f t="shared" si="0"/>
        <v>0.46784874999999987</v>
      </c>
      <c r="C10">
        <f t="shared" si="1"/>
        <v>0.16374706249999996</v>
      </c>
    </row>
    <row r="11" spans="1:6" x14ac:dyDescent="0.2">
      <c r="A11">
        <v>10</v>
      </c>
      <c r="B11">
        <f t="shared" si="0"/>
        <v>0.46634249999999988</v>
      </c>
      <c r="C11">
        <f t="shared" si="1"/>
        <v>0.16321987499999996</v>
      </c>
    </row>
    <row r="12" spans="1:6" x14ac:dyDescent="0.2">
      <c r="A12">
        <v>11</v>
      </c>
      <c r="B12">
        <f t="shared" si="0"/>
        <v>0.4648362499999999</v>
      </c>
      <c r="C12">
        <f t="shared" si="1"/>
        <v>0.16269268749999996</v>
      </c>
    </row>
    <row r="13" spans="1:6" x14ac:dyDescent="0.2">
      <c r="A13">
        <v>12</v>
      </c>
      <c r="B13">
        <f t="shared" si="0"/>
        <v>0.46332999999999991</v>
      </c>
      <c r="C13">
        <f t="shared" si="1"/>
        <v>0.16216549999999996</v>
      </c>
    </row>
    <row r="14" spans="1:6" x14ac:dyDescent="0.2">
      <c r="A14">
        <v>13</v>
      </c>
      <c r="B14">
        <f t="shared" si="0"/>
        <v>0.46182374999999992</v>
      </c>
      <c r="C14">
        <f t="shared" si="1"/>
        <v>0.16163831249999996</v>
      </c>
    </row>
    <row r="15" spans="1:6" x14ac:dyDescent="0.2">
      <c r="A15">
        <v>14</v>
      </c>
      <c r="B15">
        <f t="shared" si="0"/>
        <v>0.46031749999999994</v>
      </c>
      <c r="C15">
        <f t="shared" si="1"/>
        <v>0.16111112499999997</v>
      </c>
    </row>
    <row r="16" spans="1:6" x14ac:dyDescent="0.2">
      <c r="A16">
        <v>15</v>
      </c>
      <c r="B16">
        <f t="shared" si="0"/>
        <v>0.45881124999999995</v>
      </c>
      <c r="C16">
        <f t="shared" si="1"/>
        <v>0.16058393749999997</v>
      </c>
    </row>
    <row r="17" spans="1:5" x14ac:dyDescent="0.2">
      <c r="A17">
        <v>16</v>
      </c>
      <c r="B17">
        <f t="shared" si="0"/>
        <v>0.45730499999999996</v>
      </c>
      <c r="C17">
        <f t="shared" si="1"/>
        <v>0.16005674999999997</v>
      </c>
    </row>
    <row r="18" spans="1:5" x14ac:dyDescent="0.2">
      <c r="A18">
        <v>17</v>
      </c>
      <c r="B18">
        <f t="shared" si="0"/>
        <v>0.45579874999999997</v>
      </c>
      <c r="C18">
        <f t="shared" si="1"/>
        <v>0.15952956249999997</v>
      </c>
    </row>
    <row r="19" spans="1:5" x14ac:dyDescent="0.2">
      <c r="A19">
        <v>18</v>
      </c>
      <c r="B19">
        <f t="shared" si="0"/>
        <v>0.45429249999999999</v>
      </c>
      <c r="C19">
        <f t="shared" si="1"/>
        <v>0.15900237499999997</v>
      </c>
    </row>
    <row r="20" spans="1:5" x14ac:dyDescent="0.2">
      <c r="A20">
        <v>19</v>
      </c>
      <c r="B20">
        <f>B21-$E$21</f>
        <v>0.45278625</v>
      </c>
      <c r="C20">
        <f t="shared" si="1"/>
        <v>0.1584751875</v>
      </c>
      <c r="E20" t="s">
        <v>10</v>
      </c>
    </row>
    <row r="21" spans="1:5" x14ac:dyDescent="0.2">
      <c r="A21">
        <v>20</v>
      </c>
      <c r="B21">
        <v>0.45128000000000001</v>
      </c>
      <c r="C21">
        <f t="shared" si="1"/>
        <v>0.15794800000000001</v>
      </c>
      <c r="E21">
        <f>((($B$61-$B$21)/($A$61-$A$21)))</f>
        <v>-1.5062500000000006E-3</v>
      </c>
    </row>
    <row r="22" spans="1:5" x14ac:dyDescent="0.2">
      <c r="A22">
        <v>21</v>
      </c>
      <c r="B22">
        <f t="shared" ref="B22:B60" si="2">((($B$61-$B$21)/($A$61-$A$21)) *(A22-$A$21)) + $B$21</f>
        <v>0.44977375000000003</v>
      </c>
      <c r="C22">
        <f t="shared" si="1"/>
        <v>0.15742081250000001</v>
      </c>
    </row>
    <row r="23" spans="1:5" x14ac:dyDescent="0.2">
      <c r="A23">
        <v>22</v>
      </c>
      <c r="B23">
        <f t="shared" si="2"/>
        <v>0.44826750000000004</v>
      </c>
      <c r="C23">
        <f t="shared" si="1"/>
        <v>0.15689362500000001</v>
      </c>
    </row>
    <row r="24" spans="1:5" x14ac:dyDescent="0.2">
      <c r="A24">
        <v>23</v>
      </c>
      <c r="B24">
        <f t="shared" si="2"/>
        <v>0.44676125</v>
      </c>
      <c r="C24">
        <f t="shared" si="1"/>
        <v>0.15636643749999998</v>
      </c>
    </row>
    <row r="25" spans="1:5" x14ac:dyDescent="0.2">
      <c r="A25">
        <v>24</v>
      </c>
      <c r="B25">
        <f t="shared" si="2"/>
        <v>0.44525500000000001</v>
      </c>
      <c r="C25">
        <f t="shared" si="1"/>
        <v>0.15583924999999998</v>
      </c>
    </row>
    <row r="26" spans="1:5" x14ac:dyDescent="0.2">
      <c r="A26">
        <v>25</v>
      </c>
      <c r="B26">
        <f t="shared" si="2"/>
        <v>0.44374875000000003</v>
      </c>
      <c r="C26">
        <f t="shared" si="1"/>
        <v>0.15531206249999999</v>
      </c>
    </row>
    <row r="27" spans="1:5" x14ac:dyDescent="0.2">
      <c r="A27">
        <v>26</v>
      </c>
      <c r="B27">
        <f t="shared" si="2"/>
        <v>0.44224249999999998</v>
      </c>
      <c r="C27">
        <f t="shared" si="1"/>
        <v>0.15478487499999999</v>
      </c>
    </row>
    <row r="28" spans="1:5" x14ac:dyDescent="0.2">
      <c r="A28">
        <v>27</v>
      </c>
      <c r="B28">
        <f t="shared" si="2"/>
        <v>0.44073625</v>
      </c>
      <c r="C28">
        <f t="shared" si="1"/>
        <v>0.15425768749999999</v>
      </c>
    </row>
    <row r="29" spans="1:5" x14ac:dyDescent="0.2">
      <c r="A29">
        <v>28</v>
      </c>
      <c r="B29">
        <f t="shared" si="2"/>
        <v>0.43923000000000001</v>
      </c>
      <c r="C29">
        <f t="shared" si="1"/>
        <v>0.15373049999999999</v>
      </c>
    </row>
    <row r="30" spans="1:5" x14ac:dyDescent="0.2">
      <c r="A30">
        <v>29</v>
      </c>
      <c r="B30">
        <f t="shared" si="2"/>
        <v>0.43772375000000002</v>
      </c>
      <c r="C30">
        <f t="shared" si="1"/>
        <v>0.15320331249999999</v>
      </c>
    </row>
    <row r="31" spans="1:5" x14ac:dyDescent="0.2">
      <c r="A31">
        <v>30</v>
      </c>
      <c r="B31">
        <f t="shared" si="2"/>
        <v>0.43621750000000004</v>
      </c>
      <c r="C31">
        <f t="shared" si="1"/>
        <v>0.152676125</v>
      </c>
    </row>
    <row r="32" spans="1:5" x14ac:dyDescent="0.2">
      <c r="A32">
        <v>31</v>
      </c>
      <c r="B32">
        <f t="shared" si="2"/>
        <v>0.43471124999999999</v>
      </c>
      <c r="C32">
        <f t="shared" si="1"/>
        <v>0.1521489375</v>
      </c>
    </row>
    <row r="33" spans="1:3" x14ac:dyDescent="0.2">
      <c r="A33">
        <v>32</v>
      </c>
      <c r="B33">
        <f t="shared" si="2"/>
        <v>0.43320500000000001</v>
      </c>
      <c r="C33">
        <f t="shared" si="1"/>
        <v>0.15162175</v>
      </c>
    </row>
    <row r="34" spans="1:3" x14ac:dyDescent="0.2">
      <c r="A34">
        <v>33</v>
      </c>
      <c r="B34">
        <f t="shared" si="2"/>
        <v>0.43169875000000002</v>
      </c>
      <c r="C34">
        <f t="shared" si="1"/>
        <v>0.1510945625</v>
      </c>
    </row>
    <row r="35" spans="1:3" x14ac:dyDescent="0.2">
      <c r="A35">
        <v>34</v>
      </c>
      <c r="B35">
        <f t="shared" si="2"/>
        <v>0.43019249999999998</v>
      </c>
      <c r="C35">
        <f t="shared" si="1"/>
        <v>0.15056737499999998</v>
      </c>
    </row>
    <row r="36" spans="1:3" x14ac:dyDescent="0.2">
      <c r="A36">
        <v>35</v>
      </c>
      <c r="B36">
        <f t="shared" si="2"/>
        <v>0.42868624999999999</v>
      </c>
      <c r="C36">
        <f t="shared" si="1"/>
        <v>0.15004018749999998</v>
      </c>
    </row>
    <row r="37" spans="1:3" x14ac:dyDescent="0.2">
      <c r="A37">
        <v>36</v>
      </c>
      <c r="B37">
        <f t="shared" si="2"/>
        <v>0.42718</v>
      </c>
      <c r="C37">
        <f t="shared" si="1"/>
        <v>0.14951299999999998</v>
      </c>
    </row>
    <row r="38" spans="1:3" x14ac:dyDescent="0.2">
      <c r="A38">
        <v>37</v>
      </c>
      <c r="B38">
        <f t="shared" si="2"/>
        <v>0.42567375000000002</v>
      </c>
      <c r="C38">
        <f t="shared" si="1"/>
        <v>0.14898581250000001</v>
      </c>
    </row>
    <row r="39" spans="1:3" x14ac:dyDescent="0.2">
      <c r="A39">
        <v>38</v>
      </c>
      <c r="B39">
        <f t="shared" si="2"/>
        <v>0.42416750000000003</v>
      </c>
      <c r="C39">
        <f t="shared" si="1"/>
        <v>0.14845862500000001</v>
      </c>
    </row>
    <row r="40" spans="1:3" x14ac:dyDescent="0.2">
      <c r="A40">
        <v>39</v>
      </c>
      <c r="B40">
        <f t="shared" si="2"/>
        <v>0.42266124999999999</v>
      </c>
      <c r="C40">
        <f t="shared" si="1"/>
        <v>0.14793143749999998</v>
      </c>
    </row>
    <row r="41" spans="1:3" x14ac:dyDescent="0.2">
      <c r="A41">
        <v>40</v>
      </c>
      <c r="B41">
        <f t="shared" si="2"/>
        <v>0.421155</v>
      </c>
      <c r="C41">
        <f t="shared" si="1"/>
        <v>0.14740424999999999</v>
      </c>
    </row>
    <row r="42" spans="1:3" x14ac:dyDescent="0.2">
      <c r="A42">
        <v>41</v>
      </c>
      <c r="B42">
        <f t="shared" si="2"/>
        <v>0.41964875000000001</v>
      </c>
      <c r="C42">
        <f t="shared" si="1"/>
        <v>0.14687706249999999</v>
      </c>
    </row>
    <row r="43" spans="1:3" x14ac:dyDescent="0.2">
      <c r="A43">
        <v>42</v>
      </c>
      <c r="B43">
        <f t="shared" si="2"/>
        <v>0.41814249999999997</v>
      </c>
      <c r="C43">
        <f t="shared" si="1"/>
        <v>0.14634987499999999</v>
      </c>
    </row>
    <row r="44" spans="1:3" x14ac:dyDescent="0.2">
      <c r="A44">
        <v>43</v>
      </c>
      <c r="B44">
        <f t="shared" si="2"/>
        <v>0.41663624999999999</v>
      </c>
      <c r="C44">
        <f t="shared" si="1"/>
        <v>0.14582268749999999</v>
      </c>
    </row>
    <row r="45" spans="1:3" x14ac:dyDescent="0.2">
      <c r="A45">
        <v>44</v>
      </c>
      <c r="B45">
        <f t="shared" si="2"/>
        <v>0.41513</v>
      </c>
      <c r="C45">
        <f t="shared" si="1"/>
        <v>0.14529549999999999</v>
      </c>
    </row>
    <row r="46" spans="1:3" x14ac:dyDescent="0.2">
      <c r="A46">
        <v>45</v>
      </c>
      <c r="B46">
        <f t="shared" si="2"/>
        <v>0.41362375000000001</v>
      </c>
      <c r="C46">
        <f t="shared" si="1"/>
        <v>0.1447683125</v>
      </c>
    </row>
    <row r="47" spans="1:3" x14ac:dyDescent="0.2">
      <c r="A47">
        <v>46</v>
      </c>
      <c r="B47">
        <f t="shared" si="2"/>
        <v>0.41211750000000003</v>
      </c>
      <c r="C47">
        <f t="shared" si="1"/>
        <v>0.144241125</v>
      </c>
    </row>
    <row r="48" spans="1:3" x14ac:dyDescent="0.2">
      <c r="A48">
        <v>47</v>
      </c>
      <c r="B48">
        <f t="shared" si="2"/>
        <v>0.41061124999999998</v>
      </c>
      <c r="C48">
        <f t="shared" si="1"/>
        <v>0.14371393749999997</v>
      </c>
    </row>
    <row r="49" spans="1:3" x14ac:dyDescent="0.2">
      <c r="A49">
        <v>48</v>
      </c>
      <c r="B49">
        <f t="shared" si="2"/>
        <v>0.409105</v>
      </c>
      <c r="C49">
        <f t="shared" si="1"/>
        <v>0.14318675</v>
      </c>
    </row>
    <row r="50" spans="1:3" x14ac:dyDescent="0.2">
      <c r="A50">
        <v>49</v>
      </c>
      <c r="B50">
        <f t="shared" si="2"/>
        <v>0.40759875000000001</v>
      </c>
      <c r="C50">
        <f t="shared" si="1"/>
        <v>0.1426595625</v>
      </c>
    </row>
    <row r="51" spans="1:3" x14ac:dyDescent="0.2">
      <c r="A51">
        <v>50</v>
      </c>
      <c r="B51">
        <f t="shared" si="2"/>
        <v>0.40609249999999997</v>
      </c>
      <c r="C51">
        <f t="shared" si="1"/>
        <v>0.14213237499999998</v>
      </c>
    </row>
    <row r="52" spans="1:3" x14ac:dyDescent="0.2">
      <c r="A52">
        <v>51</v>
      </c>
      <c r="B52">
        <f t="shared" si="2"/>
        <v>0.40458624999999998</v>
      </c>
      <c r="C52">
        <f t="shared" si="1"/>
        <v>0.14160518749999998</v>
      </c>
    </row>
    <row r="53" spans="1:3" x14ac:dyDescent="0.2">
      <c r="A53">
        <v>52</v>
      </c>
      <c r="B53">
        <f t="shared" si="2"/>
        <v>0.40307999999999999</v>
      </c>
      <c r="C53">
        <f t="shared" si="1"/>
        <v>0.14107799999999998</v>
      </c>
    </row>
    <row r="54" spans="1:3" x14ac:dyDescent="0.2">
      <c r="A54">
        <v>53</v>
      </c>
      <c r="B54">
        <f t="shared" si="2"/>
        <v>0.40157375000000001</v>
      </c>
      <c r="C54">
        <f t="shared" si="1"/>
        <v>0.14055081249999998</v>
      </c>
    </row>
    <row r="55" spans="1:3" x14ac:dyDescent="0.2">
      <c r="A55">
        <v>54</v>
      </c>
      <c r="B55">
        <f t="shared" si="2"/>
        <v>0.40006750000000002</v>
      </c>
      <c r="C55">
        <f t="shared" si="1"/>
        <v>0.14002362499999998</v>
      </c>
    </row>
    <row r="56" spans="1:3" x14ac:dyDescent="0.2">
      <c r="A56">
        <v>55</v>
      </c>
      <c r="B56">
        <f t="shared" si="2"/>
        <v>0.39856124999999998</v>
      </c>
      <c r="C56">
        <f t="shared" si="1"/>
        <v>0.13949643749999999</v>
      </c>
    </row>
    <row r="57" spans="1:3" x14ac:dyDescent="0.2">
      <c r="A57">
        <v>56</v>
      </c>
      <c r="B57">
        <f t="shared" si="2"/>
        <v>0.39705499999999999</v>
      </c>
      <c r="C57">
        <f t="shared" si="1"/>
        <v>0.13896924999999999</v>
      </c>
    </row>
    <row r="58" spans="1:3" x14ac:dyDescent="0.2">
      <c r="A58">
        <v>57</v>
      </c>
      <c r="B58">
        <f t="shared" si="2"/>
        <v>0.39554875</v>
      </c>
      <c r="C58">
        <f t="shared" si="1"/>
        <v>0.13844206249999999</v>
      </c>
    </row>
    <row r="59" spans="1:3" x14ac:dyDescent="0.2">
      <c r="A59">
        <v>58</v>
      </c>
      <c r="B59">
        <f t="shared" si="2"/>
        <v>0.39404249999999996</v>
      </c>
      <c r="C59">
        <f t="shared" si="1"/>
        <v>0.13791487499999996</v>
      </c>
    </row>
    <row r="60" spans="1:3" x14ac:dyDescent="0.2">
      <c r="A60">
        <v>59</v>
      </c>
      <c r="B60">
        <f t="shared" si="2"/>
        <v>0.39253624999999998</v>
      </c>
      <c r="C60">
        <f t="shared" si="1"/>
        <v>0.13738768749999999</v>
      </c>
    </row>
    <row r="61" spans="1:3" x14ac:dyDescent="0.2">
      <c r="A61">
        <v>60</v>
      </c>
      <c r="B61">
        <v>0.39102999999999999</v>
      </c>
      <c r="C61">
        <f t="shared" si="1"/>
        <v>0.1368605</v>
      </c>
    </row>
    <row r="62" spans="1:3" x14ac:dyDescent="0.2">
      <c r="A62">
        <v>61</v>
      </c>
      <c r="B62">
        <f t="shared" ref="B62:B100" si="3">((($B$101-$B$61)/($A$101-$A$61)) *(A62-$A$61)) + $B$61</f>
        <v>0.39292099999999996</v>
      </c>
      <c r="C62">
        <f t="shared" si="1"/>
        <v>0.13752234999999999</v>
      </c>
    </row>
    <row r="63" spans="1:3" x14ac:dyDescent="0.2">
      <c r="A63">
        <v>62</v>
      </c>
      <c r="B63">
        <f t="shared" si="3"/>
        <v>0.394812</v>
      </c>
      <c r="C63">
        <f t="shared" si="1"/>
        <v>0.13818419999999998</v>
      </c>
    </row>
    <row r="64" spans="1:3" x14ac:dyDescent="0.2">
      <c r="A64">
        <v>63</v>
      </c>
      <c r="B64">
        <f t="shared" si="3"/>
        <v>0.39670299999999997</v>
      </c>
      <c r="C64">
        <f t="shared" si="1"/>
        <v>0.13884604999999997</v>
      </c>
    </row>
    <row r="65" spans="1:3" x14ac:dyDescent="0.2">
      <c r="A65">
        <v>64</v>
      </c>
      <c r="B65">
        <f t="shared" si="3"/>
        <v>0.398594</v>
      </c>
      <c r="C65">
        <f t="shared" si="1"/>
        <v>0.13950789999999999</v>
      </c>
    </row>
    <row r="66" spans="1:3" x14ac:dyDescent="0.2">
      <c r="A66">
        <v>65</v>
      </c>
      <c r="B66">
        <f t="shared" si="3"/>
        <v>0.40048499999999998</v>
      </c>
      <c r="C66">
        <f t="shared" si="1"/>
        <v>0.14016974999999998</v>
      </c>
    </row>
    <row r="67" spans="1:3" x14ac:dyDescent="0.2">
      <c r="A67">
        <v>66</v>
      </c>
      <c r="B67">
        <f t="shared" si="3"/>
        <v>0.40237600000000001</v>
      </c>
      <c r="C67">
        <f t="shared" ref="C67:C130" si="4">B67*0.35</f>
        <v>0.1408316</v>
      </c>
    </row>
    <row r="68" spans="1:3" x14ac:dyDescent="0.2">
      <c r="A68">
        <v>67</v>
      </c>
      <c r="B68">
        <f t="shared" si="3"/>
        <v>0.40426699999999999</v>
      </c>
      <c r="C68">
        <f t="shared" si="4"/>
        <v>0.14149344999999999</v>
      </c>
    </row>
    <row r="69" spans="1:3" x14ac:dyDescent="0.2">
      <c r="A69">
        <v>68</v>
      </c>
      <c r="B69">
        <f t="shared" si="3"/>
        <v>0.40615799999999996</v>
      </c>
      <c r="C69">
        <f t="shared" si="4"/>
        <v>0.14215529999999998</v>
      </c>
    </row>
    <row r="70" spans="1:3" x14ac:dyDescent="0.2">
      <c r="A70">
        <v>69</v>
      </c>
      <c r="B70">
        <f t="shared" si="3"/>
        <v>0.408049</v>
      </c>
      <c r="C70">
        <f t="shared" si="4"/>
        <v>0.14281714999999998</v>
      </c>
    </row>
    <row r="71" spans="1:3" x14ac:dyDescent="0.2">
      <c r="A71">
        <v>70</v>
      </c>
      <c r="B71">
        <f t="shared" si="3"/>
        <v>0.40993999999999997</v>
      </c>
      <c r="C71">
        <f t="shared" si="4"/>
        <v>0.14347899999999997</v>
      </c>
    </row>
    <row r="72" spans="1:3" x14ac:dyDescent="0.2">
      <c r="A72">
        <v>71</v>
      </c>
      <c r="B72">
        <f t="shared" si="3"/>
        <v>0.411831</v>
      </c>
      <c r="C72">
        <f t="shared" si="4"/>
        <v>0.14414084999999999</v>
      </c>
    </row>
    <row r="73" spans="1:3" x14ac:dyDescent="0.2">
      <c r="A73">
        <v>72</v>
      </c>
      <c r="B73">
        <f t="shared" si="3"/>
        <v>0.41372199999999998</v>
      </c>
      <c r="C73">
        <f t="shared" si="4"/>
        <v>0.14480269999999998</v>
      </c>
    </row>
    <row r="74" spans="1:3" x14ac:dyDescent="0.2">
      <c r="A74">
        <v>73</v>
      </c>
      <c r="B74">
        <f t="shared" si="3"/>
        <v>0.41561300000000001</v>
      </c>
      <c r="C74">
        <f t="shared" si="4"/>
        <v>0.14546455</v>
      </c>
    </row>
    <row r="75" spans="1:3" x14ac:dyDescent="0.2">
      <c r="A75">
        <v>74</v>
      </c>
      <c r="B75">
        <f t="shared" si="3"/>
        <v>0.41750399999999999</v>
      </c>
      <c r="C75">
        <f t="shared" si="4"/>
        <v>0.14612639999999999</v>
      </c>
    </row>
    <row r="76" spans="1:3" x14ac:dyDescent="0.2">
      <c r="A76">
        <v>75</v>
      </c>
      <c r="B76">
        <f t="shared" si="3"/>
        <v>0.41939499999999996</v>
      </c>
      <c r="C76">
        <f t="shared" si="4"/>
        <v>0.14678824999999998</v>
      </c>
    </row>
    <row r="77" spans="1:3" x14ac:dyDescent="0.2">
      <c r="A77">
        <v>76</v>
      </c>
      <c r="B77">
        <f t="shared" si="3"/>
        <v>0.42128599999999999</v>
      </c>
      <c r="C77">
        <f t="shared" si="4"/>
        <v>0.1474501</v>
      </c>
    </row>
    <row r="78" spans="1:3" x14ac:dyDescent="0.2">
      <c r="A78">
        <v>77</v>
      </c>
      <c r="B78">
        <f t="shared" si="3"/>
        <v>0.42317699999999997</v>
      </c>
      <c r="C78">
        <f t="shared" si="4"/>
        <v>0.14811194999999999</v>
      </c>
    </row>
    <row r="79" spans="1:3" x14ac:dyDescent="0.2">
      <c r="A79">
        <v>78</v>
      </c>
      <c r="B79">
        <f t="shared" si="3"/>
        <v>0.425068</v>
      </c>
      <c r="C79">
        <f t="shared" si="4"/>
        <v>0.14877379999999998</v>
      </c>
    </row>
    <row r="80" spans="1:3" x14ac:dyDescent="0.2">
      <c r="A80">
        <v>79</v>
      </c>
      <c r="B80">
        <f t="shared" si="3"/>
        <v>0.42695899999999998</v>
      </c>
      <c r="C80">
        <f t="shared" si="4"/>
        <v>0.14943564999999998</v>
      </c>
    </row>
    <row r="81" spans="1:3" x14ac:dyDescent="0.2">
      <c r="A81">
        <v>80</v>
      </c>
      <c r="B81">
        <f t="shared" si="3"/>
        <v>0.42884999999999995</v>
      </c>
      <c r="C81">
        <f t="shared" si="4"/>
        <v>0.15009749999999997</v>
      </c>
    </row>
    <row r="82" spans="1:3" x14ac:dyDescent="0.2">
      <c r="A82">
        <v>81</v>
      </c>
      <c r="B82">
        <f t="shared" si="3"/>
        <v>0.43074099999999999</v>
      </c>
      <c r="C82">
        <f t="shared" si="4"/>
        <v>0.15075934999999999</v>
      </c>
    </row>
    <row r="83" spans="1:3" x14ac:dyDescent="0.2">
      <c r="A83">
        <v>82</v>
      </c>
      <c r="B83">
        <f t="shared" si="3"/>
        <v>0.43263199999999996</v>
      </c>
      <c r="C83">
        <f t="shared" si="4"/>
        <v>0.15142119999999998</v>
      </c>
    </row>
    <row r="84" spans="1:3" x14ac:dyDescent="0.2">
      <c r="A84">
        <v>83</v>
      </c>
      <c r="B84">
        <f t="shared" si="3"/>
        <v>0.43452299999999999</v>
      </c>
      <c r="C84">
        <f t="shared" si="4"/>
        <v>0.15208305</v>
      </c>
    </row>
    <row r="85" spans="1:3" x14ac:dyDescent="0.2">
      <c r="A85">
        <v>84</v>
      </c>
      <c r="B85">
        <f t="shared" si="3"/>
        <v>0.43641399999999997</v>
      </c>
      <c r="C85">
        <f t="shared" si="4"/>
        <v>0.15274489999999999</v>
      </c>
    </row>
    <row r="86" spans="1:3" x14ac:dyDescent="0.2">
      <c r="A86">
        <v>85</v>
      </c>
      <c r="B86">
        <f t="shared" si="3"/>
        <v>0.438305</v>
      </c>
      <c r="C86">
        <f t="shared" si="4"/>
        <v>0.15340674999999998</v>
      </c>
    </row>
    <row r="87" spans="1:3" x14ac:dyDescent="0.2">
      <c r="A87">
        <v>86</v>
      </c>
      <c r="B87">
        <f t="shared" si="3"/>
        <v>0.44019599999999998</v>
      </c>
      <c r="C87">
        <f t="shared" si="4"/>
        <v>0.15406859999999997</v>
      </c>
    </row>
    <row r="88" spans="1:3" x14ac:dyDescent="0.2">
      <c r="A88">
        <v>87</v>
      </c>
      <c r="B88">
        <f t="shared" si="3"/>
        <v>0.44208700000000001</v>
      </c>
      <c r="C88">
        <f t="shared" si="4"/>
        <v>0.15473044999999999</v>
      </c>
    </row>
    <row r="89" spans="1:3" x14ac:dyDescent="0.2">
      <c r="A89">
        <v>88</v>
      </c>
      <c r="B89">
        <f t="shared" si="3"/>
        <v>0.44397799999999998</v>
      </c>
      <c r="C89">
        <f t="shared" si="4"/>
        <v>0.15539229999999998</v>
      </c>
    </row>
    <row r="90" spans="1:3" x14ac:dyDescent="0.2">
      <c r="A90">
        <v>89</v>
      </c>
      <c r="B90">
        <f t="shared" si="3"/>
        <v>0.44586899999999996</v>
      </c>
      <c r="C90">
        <f t="shared" si="4"/>
        <v>0.15605414999999997</v>
      </c>
    </row>
    <row r="91" spans="1:3" x14ac:dyDescent="0.2">
      <c r="A91">
        <v>90</v>
      </c>
      <c r="B91">
        <f t="shared" si="3"/>
        <v>0.44775999999999999</v>
      </c>
      <c r="C91">
        <f t="shared" si="4"/>
        <v>0.15671599999999999</v>
      </c>
    </row>
    <row r="92" spans="1:3" x14ac:dyDescent="0.2">
      <c r="A92">
        <v>91</v>
      </c>
      <c r="B92">
        <f t="shared" si="3"/>
        <v>0.44965099999999997</v>
      </c>
      <c r="C92">
        <f t="shared" si="4"/>
        <v>0.15737784999999999</v>
      </c>
    </row>
    <row r="93" spans="1:3" x14ac:dyDescent="0.2">
      <c r="A93">
        <v>92</v>
      </c>
      <c r="B93">
        <f t="shared" si="3"/>
        <v>0.451542</v>
      </c>
      <c r="C93">
        <f t="shared" si="4"/>
        <v>0.15803969999999998</v>
      </c>
    </row>
    <row r="94" spans="1:3" x14ac:dyDescent="0.2">
      <c r="A94">
        <v>93</v>
      </c>
      <c r="B94">
        <f t="shared" si="3"/>
        <v>0.45343299999999997</v>
      </c>
      <c r="C94">
        <f t="shared" si="4"/>
        <v>0.15870154999999997</v>
      </c>
    </row>
    <row r="95" spans="1:3" x14ac:dyDescent="0.2">
      <c r="A95">
        <v>94</v>
      </c>
      <c r="B95">
        <f t="shared" si="3"/>
        <v>0.45532399999999995</v>
      </c>
      <c r="C95">
        <f t="shared" si="4"/>
        <v>0.15936339999999996</v>
      </c>
    </row>
    <row r="96" spans="1:3" x14ac:dyDescent="0.2">
      <c r="A96">
        <v>95</v>
      </c>
      <c r="B96">
        <f t="shared" si="3"/>
        <v>0.45721499999999998</v>
      </c>
      <c r="C96">
        <f t="shared" si="4"/>
        <v>0.16002524999999998</v>
      </c>
    </row>
    <row r="97" spans="1:5" x14ac:dyDescent="0.2">
      <c r="A97">
        <v>96</v>
      </c>
      <c r="B97">
        <f t="shared" si="3"/>
        <v>0.45910599999999996</v>
      </c>
      <c r="C97">
        <f t="shared" si="4"/>
        <v>0.16068709999999997</v>
      </c>
    </row>
    <row r="98" spans="1:5" x14ac:dyDescent="0.2">
      <c r="A98">
        <v>97</v>
      </c>
      <c r="B98">
        <f t="shared" si="3"/>
        <v>0.46099699999999999</v>
      </c>
      <c r="C98">
        <f t="shared" si="4"/>
        <v>0.16134894999999999</v>
      </c>
    </row>
    <row r="99" spans="1:5" x14ac:dyDescent="0.2">
      <c r="A99">
        <v>98</v>
      </c>
      <c r="B99">
        <f t="shared" si="3"/>
        <v>0.46288799999999997</v>
      </c>
      <c r="C99">
        <f t="shared" si="4"/>
        <v>0.16201079999999998</v>
      </c>
      <c r="E99" t="s">
        <v>10</v>
      </c>
    </row>
    <row r="100" spans="1:5" x14ac:dyDescent="0.2">
      <c r="A100">
        <v>99</v>
      </c>
      <c r="B100">
        <f t="shared" si="3"/>
        <v>0.46477899999999994</v>
      </c>
      <c r="C100">
        <f t="shared" si="4"/>
        <v>0.16267264999999997</v>
      </c>
      <c r="E100">
        <f>((($B$101-$B$61)/($A$101-$A$61)))</f>
        <v>1.8909999999999997E-3</v>
      </c>
    </row>
    <row r="101" spans="1:5" x14ac:dyDescent="0.2">
      <c r="A101">
        <v>100</v>
      </c>
      <c r="B101">
        <v>0.46666999999999997</v>
      </c>
      <c r="C101">
        <f t="shared" si="4"/>
        <v>0.16333449999999999</v>
      </c>
    </row>
    <row r="102" spans="1:5" x14ac:dyDescent="0.2">
      <c r="A102">
        <v>101</v>
      </c>
      <c r="B102">
        <f>B101+$E$100</f>
        <v>0.46856099999999995</v>
      </c>
      <c r="C102">
        <f t="shared" si="4"/>
        <v>0.16399634999999999</v>
      </c>
    </row>
    <row r="103" spans="1:5" x14ac:dyDescent="0.2">
      <c r="A103">
        <v>102</v>
      </c>
      <c r="B103">
        <f t="shared" ref="B103:B151" si="5">B102+$E$100</f>
        <v>0.47045199999999993</v>
      </c>
      <c r="C103">
        <f t="shared" si="4"/>
        <v>0.16465819999999998</v>
      </c>
    </row>
    <row r="104" spans="1:5" x14ac:dyDescent="0.2">
      <c r="A104">
        <v>103</v>
      </c>
      <c r="B104">
        <f t="shared" si="5"/>
        <v>0.4723429999999999</v>
      </c>
      <c r="C104">
        <f t="shared" si="4"/>
        <v>0.16532004999999997</v>
      </c>
    </row>
    <row r="105" spans="1:5" x14ac:dyDescent="0.2">
      <c r="A105">
        <v>104</v>
      </c>
      <c r="B105">
        <f t="shared" si="5"/>
        <v>0.47423399999999988</v>
      </c>
      <c r="C105">
        <f t="shared" si="4"/>
        <v>0.16598189999999996</v>
      </c>
    </row>
    <row r="106" spans="1:5" x14ac:dyDescent="0.2">
      <c r="A106">
        <v>105</v>
      </c>
      <c r="B106">
        <f t="shared" si="5"/>
        <v>0.47612499999999985</v>
      </c>
      <c r="C106">
        <f t="shared" si="4"/>
        <v>0.16664374999999995</v>
      </c>
    </row>
    <row r="107" spans="1:5" x14ac:dyDescent="0.2">
      <c r="A107">
        <v>106</v>
      </c>
      <c r="B107">
        <f t="shared" si="5"/>
        <v>0.47801599999999983</v>
      </c>
      <c r="C107">
        <f t="shared" si="4"/>
        <v>0.16730559999999994</v>
      </c>
    </row>
    <row r="108" spans="1:5" x14ac:dyDescent="0.2">
      <c r="A108">
        <v>107</v>
      </c>
      <c r="B108">
        <f t="shared" si="5"/>
        <v>0.47990699999999981</v>
      </c>
      <c r="C108">
        <f t="shared" si="4"/>
        <v>0.16796744999999993</v>
      </c>
    </row>
    <row r="109" spans="1:5" x14ac:dyDescent="0.2">
      <c r="A109">
        <v>108</v>
      </c>
      <c r="B109">
        <f t="shared" si="5"/>
        <v>0.48179799999999978</v>
      </c>
      <c r="C109">
        <f t="shared" si="4"/>
        <v>0.16862929999999993</v>
      </c>
    </row>
    <row r="110" spans="1:5" x14ac:dyDescent="0.2">
      <c r="A110">
        <v>109</v>
      </c>
      <c r="B110">
        <f t="shared" si="5"/>
        <v>0.48368899999999976</v>
      </c>
      <c r="C110">
        <f t="shared" si="4"/>
        <v>0.16929114999999992</v>
      </c>
    </row>
    <row r="111" spans="1:5" x14ac:dyDescent="0.2">
      <c r="A111">
        <v>110</v>
      </c>
      <c r="B111">
        <f t="shared" si="5"/>
        <v>0.48557999999999973</v>
      </c>
      <c r="C111">
        <f t="shared" si="4"/>
        <v>0.16995299999999991</v>
      </c>
    </row>
    <row r="112" spans="1:5" x14ac:dyDescent="0.2">
      <c r="A112">
        <v>111</v>
      </c>
      <c r="B112">
        <f t="shared" si="5"/>
        <v>0.48747099999999971</v>
      </c>
      <c r="C112">
        <f t="shared" si="4"/>
        <v>0.1706148499999999</v>
      </c>
    </row>
    <row r="113" spans="1:3" x14ac:dyDescent="0.2">
      <c r="A113">
        <v>112</v>
      </c>
      <c r="B113">
        <f t="shared" si="5"/>
        <v>0.48936199999999969</v>
      </c>
      <c r="C113">
        <f t="shared" si="4"/>
        <v>0.17127669999999989</v>
      </c>
    </row>
    <row r="114" spans="1:3" x14ac:dyDescent="0.2">
      <c r="A114">
        <v>113</v>
      </c>
      <c r="B114">
        <f t="shared" si="5"/>
        <v>0.49125299999999966</v>
      </c>
      <c r="C114">
        <f t="shared" si="4"/>
        <v>0.17193854999999988</v>
      </c>
    </row>
    <row r="115" spans="1:3" x14ac:dyDescent="0.2">
      <c r="A115">
        <v>114</v>
      </c>
      <c r="B115">
        <f t="shared" si="5"/>
        <v>0.49314399999999964</v>
      </c>
      <c r="C115">
        <f t="shared" si="4"/>
        <v>0.17260039999999988</v>
      </c>
    </row>
    <row r="116" spans="1:3" x14ac:dyDescent="0.2">
      <c r="A116">
        <v>115</v>
      </c>
      <c r="B116">
        <f t="shared" si="5"/>
        <v>0.49503499999999961</v>
      </c>
      <c r="C116">
        <f t="shared" si="4"/>
        <v>0.17326224999999987</v>
      </c>
    </row>
    <row r="117" spans="1:3" x14ac:dyDescent="0.2">
      <c r="A117">
        <v>116</v>
      </c>
      <c r="B117">
        <f t="shared" si="5"/>
        <v>0.49692599999999959</v>
      </c>
      <c r="C117">
        <f t="shared" si="4"/>
        <v>0.17392409999999986</v>
      </c>
    </row>
    <row r="118" spans="1:3" x14ac:dyDescent="0.2">
      <c r="A118">
        <v>117</v>
      </c>
      <c r="B118">
        <f t="shared" si="5"/>
        <v>0.49881699999999957</v>
      </c>
      <c r="C118">
        <f t="shared" si="4"/>
        <v>0.17458594999999985</v>
      </c>
    </row>
    <row r="119" spans="1:3" x14ac:dyDescent="0.2">
      <c r="A119">
        <v>118</v>
      </c>
      <c r="B119">
        <f t="shared" si="5"/>
        <v>0.5007079999999996</v>
      </c>
      <c r="C119">
        <f t="shared" si="4"/>
        <v>0.17524779999999984</v>
      </c>
    </row>
    <row r="120" spans="1:3" x14ac:dyDescent="0.2">
      <c r="A120">
        <v>119</v>
      </c>
      <c r="B120">
        <f t="shared" si="5"/>
        <v>0.50259899999999957</v>
      </c>
      <c r="C120">
        <f t="shared" si="4"/>
        <v>0.17590964999999983</v>
      </c>
    </row>
    <row r="121" spans="1:3" x14ac:dyDescent="0.2">
      <c r="A121">
        <v>120</v>
      </c>
      <c r="B121">
        <f t="shared" si="5"/>
        <v>0.50448999999999955</v>
      </c>
      <c r="C121">
        <f t="shared" si="4"/>
        <v>0.17657149999999983</v>
      </c>
    </row>
    <row r="122" spans="1:3" x14ac:dyDescent="0.2">
      <c r="A122">
        <v>121</v>
      </c>
      <c r="B122">
        <f t="shared" si="5"/>
        <v>0.50638099999999953</v>
      </c>
      <c r="C122">
        <f t="shared" si="4"/>
        <v>0.17723334999999982</v>
      </c>
    </row>
    <row r="123" spans="1:3" x14ac:dyDescent="0.2">
      <c r="A123">
        <v>122</v>
      </c>
      <c r="B123">
        <f t="shared" si="5"/>
        <v>0.5082719999999995</v>
      </c>
      <c r="C123">
        <f t="shared" si="4"/>
        <v>0.17789519999999981</v>
      </c>
    </row>
    <row r="124" spans="1:3" x14ac:dyDescent="0.2">
      <c r="A124">
        <v>123</v>
      </c>
      <c r="B124">
        <f t="shared" si="5"/>
        <v>0.51016299999999948</v>
      </c>
      <c r="C124">
        <f t="shared" si="4"/>
        <v>0.1785570499999998</v>
      </c>
    </row>
    <row r="125" spans="1:3" x14ac:dyDescent="0.2">
      <c r="A125">
        <v>124</v>
      </c>
      <c r="B125">
        <f t="shared" si="5"/>
        <v>0.51205399999999945</v>
      </c>
      <c r="C125">
        <f t="shared" si="4"/>
        <v>0.17921889999999979</v>
      </c>
    </row>
    <row r="126" spans="1:3" x14ac:dyDescent="0.2">
      <c r="A126">
        <v>125</v>
      </c>
      <c r="B126">
        <f t="shared" si="5"/>
        <v>0.51394499999999943</v>
      </c>
      <c r="C126">
        <f t="shared" si="4"/>
        <v>0.17988074999999978</v>
      </c>
    </row>
    <row r="127" spans="1:3" x14ac:dyDescent="0.2">
      <c r="A127">
        <v>126</v>
      </c>
      <c r="B127">
        <f t="shared" si="5"/>
        <v>0.51583599999999941</v>
      </c>
      <c r="C127">
        <f t="shared" si="4"/>
        <v>0.18054259999999978</v>
      </c>
    </row>
    <row r="128" spans="1:3" x14ac:dyDescent="0.2">
      <c r="A128">
        <v>127</v>
      </c>
      <c r="B128">
        <f t="shared" si="5"/>
        <v>0.51772699999999938</v>
      </c>
      <c r="C128">
        <f t="shared" si="4"/>
        <v>0.18120444999999977</v>
      </c>
    </row>
    <row r="129" spans="1:3" x14ac:dyDescent="0.2">
      <c r="A129">
        <v>128</v>
      </c>
      <c r="B129">
        <f t="shared" si="5"/>
        <v>0.51961799999999936</v>
      </c>
      <c r="C129">
        <f t="shared" si="4"/>
        <v>0.18186629999999976</v>
      </c>
    </row>
    <row r="130" spans="1:3" x14ac:dyDescent="0.2">
      <c r="A130">
        <v>129</v>
      </c>
      <c r="B130">
        <f t="shared" si="5"/>
        <v>0.52150899999999933</v>
      </c>
      <c r="C130">
        <f t="shared" si="4"/>
        <v>0.18252814999999975</v>
      </c>
    </row>
    <row r="131" spans="1:3" x14ac:dyDescent="0.2">
      <c r="A131">
        <v>130</v>
      </c>
      <c r="B131">
        <f t="shared" si="5"/>
        <v>0.52339999999999931</v>
      </c>
      <c r="C131">
        <f t="shared" ref="C131:C151" si="6">B131*0.35</f>
        <v>0.18318999999999974</v>
      </c>
    </row>
    <row r="132" spans="1:3" x14ac:dyDescent="0.2">
      <c r="A132">
        <v>131</v>
      </c>
      <c r="B132">
        <f t="shared" si="5"/>
        <v>0.52529099999999929</v>
      </c>
      <c r="C132">
        <f t="shared" si="6"/>
        <v>0.18385184999999973</v>
      </c>
    </row>
    <row r="133" spans="1:3" x14ac:dyDescent="0.2">
      <c r="A133">
        <v>132</v>
      </c>
      <c r="B133">
        <f t="shared" si="5"/>
        <v>0.52718199999999926</v>
      </c>
      <c r="C133">
        <f t="shared" si="6"/>
        <v>0.18451369999999973</v>
      </c>
    </row>
    <row r="134" spans="1:3" x14ac:dyDescent="0.2">
      <c r="A134">
        <v>133</v>
      </c>
      <c r="B134">
        <f t="shared" si="5"/>
        <v>0.52907299999999924</v>
      </c>
      <c r="C134">
        <f t="shared" si="6"/>
        <v>0.18517554999999972</v>
      </c>
    </row>
    <row r="135" spans="1:3" x14ac:dyDescent="0.2">
      <c r="A135">
        <v>134</v>
      </c>
      <c r="B135">
        <f t="shared" si="5"/>
        <v>0.53096399999999921</v>
      </c>
      <c r="C135">
        <f t="shared" si="6"/>
        <v>0.18583739999999971</v>
      </c>
    </row>
    <row r="136" spans="1:3" x14ac:dyDescent="0.2">
      <c r="A136">
        <v>135</v>
      </c>
      <c r="B136">
        <f t="shared" si="5"/>
        <v>0.53285499999999919</v>
      </c>
      <c r="C136">
        <f t="shared" si="6"/>
        <v>0.1864992499999997</v>
      </c>
    </row>
    <row r="137" spans="1:3" x14ac:dyDescent="0.2">
      <c r="A137">
        <v>136</v>
      </c>
      <c r="B137">
        <f t="shared" si="5"/>
        <v>0.53474599999999917</v>
      </c>
      <c r="C137">
        <f t="shared" si="6"/>
        <v>0.18716109999999969</v>
      </c>
    </row>
    <row r="138" spans="1:3" x14ac:dyDescent="0.2">
      <c r="A138">
        <v>137</v>
      </c>
      <c r="B138">
        <f t="shared" si="5"/>
        <v>0.53663699999999914</v>
      </c>
      <c r="C138">
        <f t="shared" si="6"/>
        <v>0.18782294999999968</v>
      </c>
    </row>
    <row r="139" spans="1:3" x14ac:dyDescent="0.2">
      <c r="A139">
        <v>138</v>
      </c>
      <c r="B139">
        <f t="shared" si="5"/>
        <v>0.53852799999999912</v>
      </c>
      <c r="C139">
        <f t="shared" si="6"/>
        <v>0.18848479999999967</v>
      </c>
    </row>
    <row r="140" spans="1:3" x14ac:dyDescent="0.2">
      <c r="A140">
        <v>139</v>
      </c>
      <c r="B140">
        <f t="shared" si="5"/>
        <v>0.54041899999999909</v>
      </c>
      <c r="C140">
        <f t="shared" si="6"/>
        <v>0.18914664999999967</v>
      </c>
    </row>
    <row r="141" spans="1:3" x14ac:dyDescent="0.2">
      <c r="A141">
        <v>140</v>
      </c>
      <c r="B141">
        <f t="shared" si="5"/>
        <v>0.54230999999999907</v>
      </c>
      <c r="C141">
        <f t="shared" si="6"/>
        <v>0.18980849999999966</v>
      </c>
    </row>
    <row r="142" spans="1:3" x14ac:dyDescent="0.2">
      <c r="A142">
        <v>141</v>
      </c>
      <c r="B142">
        <f t="shared" si="5"/>
        <v>0.54420099999999905</v>
      </c>
      <c r="C142">
        <f t="shared" si="6"/>
        <v>0.19047034999999965</v>
      </c>
    </row>
    <row r="143" spans="1:3" x14ac:dyDescent="0.2">
      <c r="A143">
        <v>142</v>
      </c>
      <c r="B143">
        <f t="shared" si="5"/>
        <v>0.54609199999999902</v>
      </c>
      <c r="C143">
        <f t="shared" si="6"/>
        <v>0.19113219999999964</v>
      </c>
    </row>
    <row r="144" spans="1:3" x14ac:dyDescent="0.2">
      <c r="A144">
        <v>143</v>
      </c>
      <c r="B144">
        <f t="shared" si="5"/>
        <v>0.547982999999999</v>
      </c>
      <c r="C144">
        <f t="shared" si="6"/>
        <v>0.19179404999999963</v>
      </c>
    </row>
    <row r="145" spans="1:3" x14ac:dyDescent="0.2">
      <c r="A145">
        <v>144</v>
      </c>
      <c r="B145">
        <f t="shared" si="5"/>
        <v>0.54987399999999897</v>
      </c>
      <c r="C145">
        <f t="shared" si="6"/>
        <v>0.19245589999999962</v>
      </c>
    </row>
    <row r="146" spans="1:3" x14ac:dyDescent="0.2">
      <c r="A146">
        <v>145</v>
      </c>
      <c r="B146">
        <f t="shared" si="5"/>
        <v>0.55176499999999895</v>
      </c>
      <c r="C146">
        <f t="shared" si="6"/>
        <v>0.19311774999999962</v>
      </c>
    </row>
    <row r="147" spans="1:3" x14ac:dyDescent="0.2">
      <c r="A147">
        <v>146</v>
      </c>
      <c r="B147">
        <f t="shared" si="5"/>
        <v>0.55365599999999893</v>
      </c>
      <c r="C147">
        <f t="shared" si="6"/>
        <v>0.19377959999999961</v>
      </c>
    </row>
    <row r="148" spans="1:3" x14ac:dyDescent="0.2">
      <c r="A148">
        <v>147</v>
      </c>
      <c r="B148">
        <f t="shared" si="5"/>
        <v>0.5555469999999989</v>
      </c>
      <c r="C148">
        <f t="shared" si="6"/>
        <v>0.1944414499999996</v>
      </c>
    </row>
    <row r="149" spans="1:3" x14ac:dyDescent="0.2">
      <c r="A149">
        <v>148</v>
      </c>
      <c r="B149">
        <f t="shared" si="5"/>
        <v>0.55743799999999888</v>
      </c>
      <c r="C149">
        <f t="shared" si="6"/>
        <v>0.19510329999999959</v>
      </c>
    </row>
    <row r="150" spans="1:3" x14ac:dyDescent="0.2">
      <c r="A150">
        <v>149</v>
      </c>
      <c r="B150">
        <f t="shared" si="5"/>
        <v>0.55932899999999885</v>
      </c>
      <c r="C150">
        <f t="shared" si="6"/>
        <v>0.19576514999999958</v>
      </c>
    </row>
    <row r="151" spans="1:3" x14ac:dyDescent="0.2">
      <c r="A151">
        <v>150</v>
      </c>
      <c r="B151">
        <f t="shared" si="5"/>
        <v>0.56121999999999883</v>
      </c>
      <c r="C151">
        <f t="shared" si="6"/>
        <v>0.19642699999999957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F151"/>
  <sheetViews>
    <sheetView topLeftCell="A4" workbookViewId="0">
      <selection activeCell="E16" sqref="E16"/>
    </sheetView>
  </sheetViews>
  <sheetFormatPr baseColWidth="10" defaultColWidth="8.83203125" defaultRowHeight="15" x14ac:dyDescent="0.2"/>
  <cols>
    <col min="1" max="1" width="9.83203125" bestFit="1" customWidth="1"/>
    <col min="2" max="2" width="11" bestFit="1" customWidth="1"/>
    <col min="3" max="3" width="13.6640625" customWidth="1"/>
    <col min="4" max="4" width="7.1640625" customWidth="1"/>
    <col min="5" max="5" width="12.33203125" bestFit="1" customWidth="1"/>
    <col min="6" max="6" width="12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2">
      <c r="A2">
        <v>1</v>
      </c>
      <c r="B2">
        <f t="shared" ref="B2:B19" si="0">B3-$E$21</f>
        <v>0.47989874999999976</v>
      </c>
      <c r="C2">
        <f>B2*0.35</f>
        <v>0.16796456249999991</v>
      </c>
      <c r="E2" s="1" t="s">
        <v>4</v>
      </c>
      <c r="F2" s="1">
        <v>0.46666999999999997</v>
      </c>
    </row>
    <row r="3" spans="1:6" x14ac:dyDescent="0.2">
      <c r="A3">
        <v>2</v>
      </c>
      <c r="B3">
        <f t="shared" si="0"/>
        <v>0.47839249999999978</v>
      </c>
      <c r="C3">
        <f t="shared" ref="C3:C66" si="1">B3*0.35</f>
        <v>0.16743737499999992</v>
      </c>
      <c r="E3" t="s">
        <v>5</v>
      </c>
      <c r="F3">
        <v>0.45128000000000001</v>
      </c>
    </row>
    <row r="4" spans="1:6" x14ac:dyDescent="0.2">
      <c r="A4">
        <v>3</v>
      </c>
      <c r="B4">
        <f t="shared" si="0"/>
        <v>0.47688624999999979</v>
      </c>
      <c r="C4">
        <f t="shared" si="1"/>
        <v>0.16691018749999992</v>
      </c>
      <c r="E4" t="s">
        <v>6</v>
      </c>
      <c r="F4">
        <v>0.39102999999999999</v>
      </c>
    </row>
    <row r="5" spans="1:6" x14ac:dyDescent="0.2">
      <c r="A5">
        <v>4</v>
      </c>
      <c r="B5">
        <f t="shared" si="0"/>
        <v>0.4753799999999998</v>
      </c>
      <c r="C5">
        <f t="shared" si="1"/>
        <v>0.16638299999999992</v>
      </c>
      <c r="E5" t="s">
        <v>7</v>
      </c>
      <c r="F5">
        <v>0.53969999999999996</v>
      </c>
    </row>
    <row r="6" spans="1:6" x14ac:dyDescent="0.2">
      <c r="A6">
        <v>5</v>
      </c>
      <c r="B6">
        <f t="shared" si="0"/>
        <v>0.47387374999999982</v>
      </c>
      <c r="C6">
        <f t="shared" si="1"/>
        <v>0.16585581249999992</v>
      </c>
    </row>
    <row r="7" spans="1:6" x14ac:dyDescent="0.2">
      <c r="A7">
        <v>6</v>
      </c>
      <c r="B7">
        <f t="shared" si="0"/>
        <v>0.47236749999999983</v>
      </c>
      <c r="C7">
        <f t="shared" si="1"/>
        <v>0.16532862499999992</v>
      </c>
    </row>
    <row r="8" spans="1:6" x14ac:dyDescent="0.2">
      <c r="A8">
        <v>7</v>
      </c>
      <c r="B8">
        <f t="shared" si="0"/>
        <v>0.47086124999999984</v>
      </c>
      <c r="C8">
        <f t="shared" si="1"/>
        <v>0.16480143749999993</v>
      </c>
    </row>
    <row r="9" spans="1:6" x14ac:dyDescent="0.2">
      <c r="A9">
        <v>8</v>
      </c>
      <c r="B9">
        <f t="shared" si="0"/>
        <v>0.46935499999999986</v>
      </c>
      <c r="C9">
        <f t="shared" si="1"/>
        <v>0.16427424999999993</v>
      </c>
    </row>
    <row r="10" spans="1:6" x14ac:dyDescent="0.2">
      <c r="A10">
        <v>9</v>
      </c>
      <c r="B10">
        <f t="shared" si="0"/>
        <v>0.46784874999999987</v>
      </c>
      <c r="C10">
        <f t="shared" si="1"/>
        <v>0.16374706249999996</v>
      </c>
    </row>
    <row r="11" spans="1:6" x14ac:dyDescent="0.2">
      <c r="A11">
        <v>10</v>
      </c>
      <c r="B11">
        <f t="shared" si="0"/>
        <v>0.46634249999999988</v>
      </c>
      <c r="C11">
        <f t="shared" si="1"/>
        <v>0.16321987499999996</v>
      </c>
    </row>
    <row r="12" spans="1:6" x14ac:dyDescent="0.2">
      <c r="A12">
        <v>11</v>
      </c>
      <c r="B12">
        <f t="shared" si="0"/>
        <v>0.4648362499999999</v>
      </c>
      <c r="C12">
        <f t="shared" si="1"/>
        <v>0.16269268749999996</v>
      </c>
    </row>
    <row r="13" spans="1:6" x14ac:dyDescent="0.2">
      <c r="A13">
        <v>12</v>
      </c>
      <c r="B13">
        <f t="shared" si="0"/>
        <v>0.46332999999999991</v>
      </c>
      <c r="C13">
        <f t="shared" si="1"/>
        <v>0.16216549999999996</v>
      </c>
    </row>
    <row r="14" spans="1:6" x14ac:dyDescent="0.2">
      <c r="A14">
        <v>13</v>
      </c>
      <c r="B14">
        <f t="shared" si="0"/>
        <v>0.46182374999999992</v>
      </c>
      <c r="C14">
        <f t="shared" si="1"/>
        <v>0.16163831249999996</v>
      </c>
    </row>
    <row r="15" spans="1:6" x14ac:dyDescent="0.2">
      <c r="A15">
        <v>14</v>
      </c>
      <c r="B15">
        <f t="shared" si="0"/>
        <v>0.46031749999999994</v>
      </c>
      <c r="C15">
        <f t="shared" si="1"/>
        <v>0.16111112499999997</v>
      </c>
    </row>
    <row r="16" spans="1:6" x14ac:dyDescent="0.2">
      <c r="A16">
        <v>15</v>
      </c>
      <c r="B16">
        <f t="shared" si="0"/>
        <v>0.45881124999999995</v>
      </c>
      <c r="C16">
        <f t="shared" si="1"/>
        <v>0.16058393749999997</v>
      </c>
    </row>
    <row r="17" spans="1:5" x14ac:dyDescent="0.2">
      <c r="A17">
        <v>16</v>
      </c>
      <c r="B17">
        <f t="shared" si="0"/>
        <v>0.45730499999999996</v>
      </c>
      <c r="C17">
        <f t="shared" si="1"/>
        <v>0.16005674999999997</v>
      </c>
    </row>
    <row r="18" spans="1:5" x14ac:dyDescent="0.2">
      <c r="A18">
        <v>17</v>
      </c>
      <c r="B18">
        <f t="shared" si="0"/>
        <v>0.45579874999999997</v>
      </c>
      <c r="C18">
        <f t="shared" si="1"/>
        <v>0.15952956249999997</v>
      </c>
    </row>
    <row r="19" spans="1:5" x14ac:dyDescent="0.2">
      <c r="A19">
        <v>18</v>
      </c>
      <c r="B19">
        <f t="shared" si="0"/>
        <v>0.45429249999999999</v>
      </c>
      <c r="C19">
        <f t="shared" si="1"/>
        <v>0.15900237499999997</v>
      </c>
    </row>
    <row r="20" spans="1:5" x14ac:dyDescent="0.2">
      <c r="A20">
        <v>19</v>
      </c>
      <c r="B20">
        <f>B21-$E$21</f>
        <v>0.45278625</v>
      </c>
      <c r="C20">
        <f t="shared" si="1"/>
        <v>0.1584751875</v>
      </c>
      <c r="E20" t="s">
        <v>10</v>
      </c>
    </row>
    <row r="21" spans="1:5" x14ac:dyDescent="0.2">
      <c r="A21">
        <v>20</v>
      </c>
      <c r="B21">
        <v>0.45128000000000001</v>
      </c>
      <c r="C21">
        <f t="shared" si="1"/>
        <v>0.15794800000000001</v>
      </c>
      <c r="E21">
        <f>((($B$61-$B$21)/($A$61-$A$21)))</f>
        <v>-1.5062500000000006E-3</v>
      </c>
    </row>
    <row r="22" spans="1:5" x14ac:dyDescent="0.2">
      <c r="A22">
        <v>21</v>
      </c>
      <c r="B22">
        <f t="shared" ref="B22:B60" si="2">((($B$61-$B$21)/($A$61-$A$21)) *(A22-$A$21)) + $B$21</f>
        <v>0.44977375000000003</v>
      </c>
      <c r="C22">
        <f t="shared" si="1"/>
        <v>0.15742081250000001</v>
      </c>
    </row>
    <row r="23" spans="1:5" x14ac:dyDescent="0.2">
      <c r="A23">
        <v>22</v>
      </c>
      <c r="B23">
        <f t="shared" si="2"/>
        <v>0.44826750000000004</v>
      </c>
      <c r="C23">
        <f t="shared" si="1"/>
        <v>0.15689362500000001</v>
      </c>
    </row>
    <row r="24" spans="1:5" x14ac:dyDescent="0.2">
      <c r="A24">
        <v>23</v>
      </c>
      <c r="B24">
        <f t="shared" si="2"/>
        <v>0.44676125</v>
      </c>
      <c r="C24">
        <f t="shared" si="1"/>
        <v>0.15636643749999998</v>
      </c>
    </row>
    <row r="25" spans="1:5" x14ac:dyDescent="0.2">
      <c r="A25">
        <v>24</v>
      </c>
      <c r="B25">
        <f t="shared" si="2"/>
        <v>0.44525500000000001</v>
      </c>
      <c r="C25">
        <f t="shared" si="1"/>
        <v>0.15583924999999998</v>
      </c>
    </row>
    <row r="26" spans="1:5" x14ac:dyDescent="0.2">
      <c r="A26">
        <v>25</v>
      </c>
      <c r="B26">
        <f t="shared" si="2"/>
        <v>0.44374875000000003</v>
      </c>
      <c r="C26">
        <f t="shared" si="1"/>
        <v>0.15531206249999999</v>
      </c>
    </row>
    <row r="27" spans="1:5" x14ac:dyDescent="0.2">
      <c r="A27">
        <v>26</v>
      </c>
      <c r="B27">
        <f t="shared" si="2"/>
        <v>0.44224249999999998</v>
      </c>
      <c r="C27">
        <f t="shared" si="1"/>
        <v>0.15478487499999999</v>
      </c>
    </row>
    <row r="28" spans="1:5" x14ac:dyDescent="0.2">
      <c r="A28">
        <v>27</v>
      </c>
      <c r="B28">
        <f t="shared" si="2"/>
        <v>0.44073625</v>
      </c>
      <c r="C28">
        <f t="shared" si="1"/>
        <v>0.15425768749999999</v>
      </c>
    </row>
    <row r="29" spans="1:5" x14ac:dyDescent="0.2">
      <c r="A29">
        <v>28</v>
      </c>
      <c r="B29">
        <f t="shared" si="2"/>
        <v>0.43923000000000001</v>
      </c>
      <c r="C29">
        <f t="shared" si="1"/>
        <v>0.15373049999999999</v>
      </c>
    </row>
    <row r="30" spans="1:5" x14ac:dyDescent="0.2">
      <c r="A30">
        <v>29</v>
      </c>
      <c r="B30">
        <f t="shared" si="2"/>
        <v>0.43772375000000002</v>
      </c>
      <c r="C30">
        <f t="shared" si="1"/>
        <v>0.15320331249999999</v>
      </c>
    </row>
    <row r="31" spans="1:5" x14ac:dyDescent="0.2">
      <c r="A31">
        <v>30</v>
      </c>
      <c r="B31">
        <f t="shared" si="2"/>
        <v>0.43621750000000004</v>
      </c>
      <c r="C31">
        <f t="shared" si="1"/>
        <v>0.152676125</v>
      </c>
    </row>
    <row r="32" spans="1:5" x14ac:dyDescent="0.2">
      <c r="A32">
        <v>31</v>
      </c>
      <c r="B32">
        <f t="shared" si="2"/>
        <v>0.43471124999999999</v>
      </c>
      <c r="C32">
        <f t="shared" si="1"/>
        <v>0.1521489375</v>
      </c>
    </row>
    <row r="33" spans="1:3" x14ac:dyDescent="0.2">
      <c r="A33">
        <v>32</v>
      </c>
      <c r="B33">
        <f t="shared" si="2"/>
        <v>0.43320500000000001</v>
      </c>
      <c r="C33">
        <f t="shared" si="1"/>
        <v>0.15162175</v>
      </c>
    </row>
    <row r="34" spans="1:3" x14ac:dyDescent="0.2">
      <c r="A34">
        <v>33</v>
      </c>
      <c r="B34">
        <f t="shared" si="2"/>
        <v>0.43169875000000002</v>
      </c>
      <c r="C34">
        <f t="shared" si="1"/>
        <v>0.1510945625</v>
      </c>
    </row>
    <row r="35" spans="1:3" x14ac:dyDescent="0.2">
      <c r="A35">
        <v>34</v>
      </c>
      <c r="B35">
        <f t="shared" si="2"/>
        <v>0.43019249999999998</v>
      </c>
      <c r="C35">
        <f t="shared" si="1"/>
        <v>0.15056737499999998</v>
      </c>
    </row>
    <row r="36" spans="1:3" x14ac:dyDescent="0.2">
      <c r="A36">
        <v>35</v>
      </c>
      <c r="B36">
        <f t="shared" si="2"/>
        <v>0.42868624999999999</v>
      </c>
      <c r="C36">
        <f t="shared" si="1"/>
        <v>0.15004018749999998</v>
      </c>
    </row>
    <row r="37" spans="1:3" x14ac:dyDescent="0.2">
      <c r="A37">
        <v>36</v>
      </c>
      <c r="B37">
        <f t="shared" si="2"/>
        <v>0.42718</v>
      </c>
      <c r="C37">
        <f t="shared" si="1"/>
        <v>0.14951299999999998</v>
      </c>
    </row>
    <row r="38" spans="1:3" x14ac:dyDescent="0.2">
      <c r="A38">
        <v>37</v>
      </c>
      <c r="B38">
        <f t="shared" si="2"/>
        <v>0.42567375000000002</v>
      </c>
      <c r="C38">
        <f t="shared" si="1"/>
        <v>0.14898581250000001</v>
      </c>
    </row>
    <row r="39" spans="1:3" x14ac:dyDescent="0.2">
      <c r="A39">
        <v>38</v>
      </c>
      <c r="B39">
        <f t="shared" si="2"/>
        <v>0.42416750000000003</v>
      </c>
      <c r="C39">
        <f t="shared" si="1"/>
        <v>0.14845862500000001</v>
      </c>
    </row>
    <row r="40" spans="1:3" x14ac:dyDescent="0.2">
      <c r="A40">
        <v>39</v>
      </c>
      <c r="B40">
        <f t="shared" si="2"/>
        <v>0.42266124999999999</v>
      </c>
      <c r="C40">
        <f t="shared" si="1"/>
        <v>0.14793143749999998</v>
      </c>
    </row>
    <row r="41" spans="1:3" x14ac:dyDescent="0.2">
      <c r="A41">
        <v>40</v>
      </c>
      <c r="B41">
        <f t="shared" si="2"/>
        <v>0.421155</v>
      </c>
      <c r="C41">
        <f t="shared" si="1"/>
        <v>0.14740424999999999</v>
      </c>
    </row>
    <row r="42" spans="1:3" x14ac:dyDescent="0.2">
      <c r="A42">
        <v>41</v>
      </c>
      <c r="B42">
        <f t="shared" si="2"/>
        <v>0.41964875000000001</v>
      </c>
      <c r="C42">
        <f t="shared" si="1"/>
        <v>0.14687706249999999</v>
      </c>
    </row>
    <row r="43" spans="1:3" x14ac:dyDescent="0.2">
      <c r="A43">
        <v>42</v>
      </c>
      <c r="B43">
        <f t="shared" si="2"/>
        <v>0.41814249999999997</v>
      </c>
      <c r="C43">
        <f t="shared" si="1"/>
        <v>0.14634987499999999</v>
      </c>
    </row>
    <row r="44" spans="1:3" x14ac:dyDescent="0.2">
      <c r="A44">
        <v>43</v>
      </c>
      <c r="B44">
        <f t="shared" si="2"/>
        <v>0.41663624999999999</v>
      </c>
      <c r="C44">
        <f t="shared" si="1"/>
        <v>0.14582268749999999</v>
      </c>
    </row>
    <row r="45" spans="1:3" x14ac:dyDescent="0.2">
      <c r="A45">
        <v>44</v>
      </c>
      <c r="B45">
        <f t="shared" si="2"/>
        <v>0.41513</v>
      </c>
      <c r="C45">
        <f t="shared" si="1"/>
        <v>0.14529549999999999</v>
      </c>
    </row>
    <row r="46" spans="1:3" x14ac:dyDescent="0.2">
      <c r="A46">
        <v>45</v>
      </c>
      <c r="B46">
        <f t="shared" si="2"/>
        <v>0.41362375000000001</v>
      </c>
      <c r="C46">
        <f t="shared" si="1"/>
        <v>0.1447683125</v>
      </c>
    </row>
    <row r="47" spans="1:3" x14ac:dyDescent="0.2">
      <c r="A47">
        <v>46</v>
      </c>
      <c r="B47">
        <f t="shared" si="2"/>
        <v>0.41211750000000003</v>
      </c>
      <c r="C47">
        <f t="shared" si="1"/>
        <v>0.144241125</v>
      </c>
    </row>
    <row r="48" spans="1:3" x14ac:dyDescent="0.2">
      <c r="A48">
        <v>47</v>
      </c>
      <c r="B48">
        <f t="shared" si="2"/>
        <v>0.41061124999999998</v>
      </c>
      <c r="C48">
        <f t="shared" si="1"/>
        <v>0.14371393749999997</v>
      </c>
    </row>
    <row r="49" spans="1:3" x14ac:dyDescent="0.2">
      <c r="A49">
        <v>48</v>
      </c>
      <c r="B49">
        <f t="shared" si="2"/>
        <v>0.409105</v>
      </c>
      <c r="C49">
        <f t="shared" si="1"/>
        <v>0.14318675</v>
      </c>
    </row>
    <row r="50" spans="1:3" x14ac:dyDescent="0.2">
      <c r="A50">
        <v>49</v>
      </c>
      <c r="B50">
        <f t="shared" si="2"/>
        <v>0.40759875000000001</v>
      </c>
      <c r="C50">
        <f t="shared" si="1"/>
        <v>0.1426595625</v>
      </c>
    </row>
    <row r="51" spans="1:3" x14ac:dyDescent="0.2">
      <c r="A51">
        <v>50</v>
      </c>
      <c r="B51">
        <f t="shared" si="2"/>
        <v>0.40609249999999997</v>
      </c>
      <c r="C51">
        <f t="shared" si="1"/>
        <v>0.14213237499999998</v>
      </c>
    </row>
    <row r="52" spans="1:3" x14ac:dyDescent="0.2">
      <c r="A52">
        <v>51</v>
      </c>
      <c r="B52">
        <f t="shared" si="2"/>
        <v>0.40458624999999998</v>
      </c>
      <c r="C52">
        <f t="shared" si="1"/>
        <v>0.14160518749999998</v>
      </c>
    </row>
    <row r="53" spans="1:3" x14ac:dyDescent="0.2">
      <c r="A53">
        <v>52</v>
      </c>
      <c r="B53">
        <f t="shared" si="2"/>
        <v>0.40307999999999999</v>
      </c>
      <c r="C53">
        <f t="shared" si="1"/>
        <v>0.14107799999999998</v>
      </c>
    </row>
    <row r="54" spans="1:3" x14ac:dyDescent="0.2">
      <c r="A54">
        <v>53</v>
      </c>
      <c r="B54">
        <f t="shared" si="2"/>
        <v>0.40157375000000001</v>
      </c>
      <c r="C54">
        <f t="shared" si="1"/>
        <v>0.14055081249999998</v>
      </c>
    </row>
    <row r="55" spans="1:3" x14ac:dyDescent="0.2">
      <c r="A55">
        <v>54</v>
      </c>
      <c r="B55">
        <f t="shared" si="2"/>
        <v>0.40006750000000002</v>
      </c>
      <c r="C55">
        <f t="shared" si="1"/>
        <v>0.14002362499999998</v>
      </c>
    </row>
    <row r="56" spans="1:3" x14ac:dyDescent="0.2">
      <c r="A56">
        <v>55</v>
      </c>
      <c r="B56">
        <f t="shared" si="2"/>
        <v>0.39856124999999998</v>
      </c>
      <c r="C56">
        <f t="shared" si="1"/>
        <v>0.13949643749999999</v>
      </c>
    </row>
    <row r="57" spans="1:3" x14ac:dyDescent="0.2">
      <c r="A57">
        <v>56</v>
      </c>
      <c r="B57">
        <f t="shared" si="2"/>
        <v>0.39705499999999999</v>
      </c>
      <c r="C57">
        <f t="shared" si="1"/>
        <v>0.13896924999999999</v>
      </c>
    </row>
    <row r="58" spans="1:3" x14ac:dyDescent="0.2">
      <c r="A58">
        <v>57</v>
      </c>
      <c r="B58">
        <f t="shared" si="2"/>
        <v>0.39554875</v>
      </c>
      <c r="C58">
        <f t="shared" si="1"/>
        <v>0.13844206249999999</v>
      </c>
    </row>
    <row r="59" spans="1:3" x14ac:dyDescent="0.2">
      <c r="A59">
        <v>58</v>
      </c>
      <c r="B59">
        <f t="shared" si="2"/>
        <v>0.39404249999999996</v>
      </c>
      <c r="C59">
        <f t="shared" si="1"/>
        <v>0.13791487499999996</v>
      </c>
    </row>
    <row r="60" spans="1:3" x14ac:dyDescent="0.2">
      <c r="A60">
        <v>59</v>
      </c>
      <c r="B60">
        <f t="shared" si="2"/>
        <v>0.39253624999999998</v>
      </c>
      <c r="C60">
        <f t="shared" si="1"/>
        <v>0.13738768749999999</v>
      </c>
    </row>
    <row r="61" spans="1:3" x14ac:dyDescent="0.2">
      <c r="A61">
        <v>60</v>
      </c>
      <c r="B61">
        <v>0.39102999999999999</v>
      </c>
      <c r="C61">
        <f t="shared" si="1"/>
        <v>0.1368605</v>
      </c>
    </row>
    <row r="62" spans="1:3" x14ac:dyDescent="0.2">
      <c r="A62">
        <v>61</v>
      </c>
      <c r="B62">
        <f t="shared" ref="B62:B100" si="3">((($B$101-$B$61)/($A$101-$A$61)) *(A62-$A$61)) + $B$61</f>
        <v>0.39474674999999998</v>
      </c>
      <c r="C62">
        <f t="shared" si="1"/>
        <v>0.1381613625</v>
      </c>
    </row>
    <row r="63" spans="1:3" x14ac:dyDescent="0.2">
      <c r="A63">
        <v>62</v>
      </c>
      <c r="B63">
        <f t="shared" si="3"/>
        <v>0.39846349999999997</v>
      </c>
      <c r="C63">
        <f t="shared" si="1"/>
        <v>0.13946222499999997</v>
      </c>
    </row>
    <row r="64" spans="1:3" x14ac:dyDescent="0.2">
      <c r="A64">
        <v>63</v>
      </c>
      <c r="B64">
        <f t="shared" si="3"/>
        <v>0.40218024999999996</v>
      </c>
      <c r="C64">
        <f t="shared" si="1"/>
        <v>0.14076308749999997</v>
      </c>
    </row>
    <row r="65" spans="1:3" x14ac:dyDescent="0.2">
      <c r="A65">
        <v>64</v>
      </c>
      <c r="B65">
        <f t="shared" si="3"/>
        <v>0.40589700000000001</v>
      </c>
      <c r="C65">
        <f t="shared" si="1"/>
        <v>0.14206394999999999</v>
      </c>
    </row>
    <row r="66" spans="1:3" x14ac:dyDescent="0.2">
      <c r="A66">
        <v>65</v>
      </c>
      <c r="B66">
        <f t="shared" si="3"/>
        <v>0.40961375</v>
      </c>
      <c r="C66">
        <f t="shared" si="1"/>
        <v>0.14336481249999999</v>
      </c>
    </row>
    <row r="67" spans="1:3" x14ac:dyDescent="0.2">
      <c r="A67">
        <v>66</v>
      </c>
      <c r="B67">
        <f t="shared" si="3"/>
        <v>0.41333049999999999</v>
      </c>
      <c r="C67">
        <f t="shared" ref="C67:C130" si="4">B67*0.35</f>
        <v>0.14466567499999999</v>
      </c>
    </row>
    <row r="68" spans="1:3" x14ac:dyDescent="0.2">
      <c r="A68">
        <v>67</v>
      </c>
      <c r="B68">
        <f t="shared" si="3"/>
        <v>0.41704724999999998</v>
      </c>
      <c r="C68">
        <f t="shared" si="4"/>
        <v>0.14596653749999999</v>
      </c>
    </row>
    <row r="69" spans="1:3" x14ac:dyDescent="0.2">
      <c r="A69">
        <v>68</v>
      </c>
      <c r="B69">
        <f t="shared" si="3"/>
        <v>0.42076399999999997</v>
      </c>
      <c r="C69">
        <f t="shared" si="4"/>
        <v>0.14726739999999999</v>
      </c>
    </row>
    <row r="70" spans="1:3" x14ac:dyDescent="0.2">
      <c r="A70">
        <v>69</v>
      </c>
      <c r="B70">
        <f t="shared" si="3"/>
        <v>0.42448074999999996</v>
      </c>
      <c r="C70">
        <f t="shared" si="4"/>
        <v>0.14856826249999996</v>
      </c>
    </row>
    <row r="71" spans="1:3" x14ac:dyDescent="0.2">
      <c r="A71">
        <v>70</v>
      </c>
      <c r="B71">
        <f t="shared" si="3"/>
        <v>0.42819750000000001</v>
      </c>
      <c r="C71">
        <f t="shared" si="4"/>
        <v>0.14986912499999999</v>
      </c>
    </row>
    <row r="72" spans="1:3" x14ac:dyDescent="0.2">
      <c r="A72">
        <v>71</v>
      </c>
      <c r="B72">
        <f t="shared" si="3"/>
        <v>0.43191425</v>
      </c>
      <c r="C72">
        <f t="shared" si="4"/>
        <v>0.15116998749999999</v>
      </c>
    </row>
    <row r="73" spans="1:3" x14ac:dyDescent="0.2">
      <c r="A73">
        <v>72</v>
      </c>
      <c r="B73">
        <f t="shared" si="3"/>
        <v>0.43563099999999999</v>
      </c>
      <c r="C73">
        <f t="shared" si="4"/>
        <v>0.15247084999999999</v>
      </c>
    </row>
    <row r="74" spans="1:3" x14ac:dyDescent="0.2">
      <c r="A74">
        <v>73</v>
      </c>
      <c r="B74">
        <f t="shared" si="3"/>
        <v>0.43934774999999998</v>
      </c>
      <c r="C74">
        <f t="shared" si="4"/>
        <v>0.15377171249999999</v>
      </c>
    </row>
    <row r="75" spans="1:3" x14ac:dyDescent="0.2">
      <c r="A75">
        <v>74</v>
      </c>
      <c r="B75">
        <f t="shared" si="3"/>
        <v>0.44306449999999997</v>
      </c>
      <c r="C75">
        <f t="shared" si="4"/>
        <v>0.15507257499999999</v>
      </c>
    </row>
    <row r="76" spans="1:3" x14ac:dyDescent="0.2">
      <c r="A76">
        <v>75</v>
      </c>
      <c r="B76">
        <f t="shared" si="3"/>
        <v>0.44678124999999996</v>
      </c>
      <c r="C76">
        <f t="shared" si="4"/>
        <v>0.15637343749999999</v>
      </c>
    </row>
    <row r="77" spans="1:3" x14ac:dyDescent="0.2">
      <c r="A77">
        <v>76</v>
      </c>
      <c r="B77">
        <f t="shared" si="3"/>
        <v>0.45049799999999995</v>
      </c>
      <c r="C77">
        <f t="shared" si="4"/>
        <v>0.15767429999999996</v>
      </c>
    </row>
    <row r="78" spans="1:3" x14ac:dyDescent="0.2">
      <c r="A78">
        <v>77</v>
      </c>
      <c r="B78">
        <f t="shared" si="3"/>
        <v>0.45421475</v>
      </c>
      <c r="C78">
        <f t="shared" si="4"/>
        <v>0.15897516249999999</v>
      </c>
    </row>
    <row r="79" spans="1:3" x14ac:dyDescent="0.2">
      <c r="A79">
        <v>78</v>
      </c>
      <c r="B79">
        <f t="shared" si="3"/>
        <v>0.45793149999999999</v>
      </c>
      <c r="C79">
        <f t="shared" si="4"/>
        <v>0.16027602499999999</v>
      </c>
    </row>
    <row r="80" spans="1:3" x14ac:dyDescent="0.2">
      <c r="A80">
        <v>79</v>
      </c>
      <c r="B80">
        <f t="shared" si="3"/>
        <v>0.46164824999999998</v>
      </c>
      <c r="C80">
        <f t="shared" si="4"/>
        <v>0.16157688749999999</v>
      </c>
    </row>
    <row r="81" spans="1:3" x14ac:dyDescent="0.2">
      <c r="A81">
        <v>80</v>
      </c>
      <c r="B81">
        <f t="shared" si="3"/>
        <v>0.46536499999999997</v>
      </c>
      <c r="C81">
        <f t="shared" si="4"/>
        <v>0.16287774999999999</v>
      </c>
    </row>
    <row r="82" spans="1:3" x14ac:dyDescent="0.2">
      <c r="A82">
        <v>81</v>
      </c>
      <c r="B82">
        <f t="shared" si="3"/>
        <v>0.46908174999999996</v>
      </c>
      <c r="C82">
        <f t="shared" si="4"/>
        <v>0.16417861249999999</v>
      </c>
    </row>
    <row r="83" spans="1:3" x14ac:dyDescent="0.2">
      <c r="A83">
        <v>82</v>
      </c>
      <c r="B83">
        <f t="shared" si="3"/>
        <v>0.47279849999999995</v>
      </c>
      <c r="C83">
        <f t="shared" si="4"/>
        <v>0.16547947499999999</v>
      </c>
    </row>
    <row r="84" spans="1:3" x14ac:dyDescent="0.2">
      <c r="A84">
        <v>83</v>
      </c>
      <c r="B84">
        <f t="shared" si="3"/>
        <v>0.47651524999999995</v>
      </c>
      <c r="C84">
        <f t="shared" si="4"/>
        <v>0.16678033749999996</v>
      </c>
    </row>
    <row r="85" spans="1:3" x14ac:dyDescent="0.2">
      <c r="A85">
        <v>84</v>
      </c>
      <c r="B85">
        <f t="shared" si="3"/>
        <v>0.48023199999999999</v>
      </c>
      <c r="C85">
        <f t="shared" si="4"/>
        <v>0.16808119999999999</v>
      </c>
    </row>
    <row r="86" spans="1:3" x14ac:dyDescent="0.2">
      <c r="A86">
        <v>85</v>
      </c>
      <c r="B86">
        <f t="shared" si="3"/>
        <v>0.48394874999999998</v>
      </c>
      <c r="C86">
        <f t="shared" si="4"/>
        <v>0.16938206249999999</v>
      </c>
    </row>
    <row r="87" spans="1:3" x14ac:dyDescent="0.2">
      <c r="A87">
        <v>86</v>
      </c>
      <c r="B87">
        <f t="shared" si="3"/>
        <v>0.48766549999999997</v>
      </c>
      <c r="C87">
        <f t="shared" si="4"/>
        <v>0.17068292499999999</v>
      </c>
    </row>
    <row r="88" spans="1:3" x14ac:dyDescent="0.2">
      <c r="A88">
        <v>87</v>
      </c>
      <c r="B88">
        <f t="shared" si="3"/>
        <v>0.49138224999999996</v>
      </c>
      <c r="C88">
        <f t="shared" si="4"/>
        <v>0.17198378749999998</v>
      </c>
    </row>
    <row r="89" spans="1:3" x14ac:dyDescent="0.2">
      <c r="A89">
        <v>88</v>
      </c>
      <c r="B89">
        <f t="shared" si="3"/>
        <v>0.49509899999999996</v>
      </c>
      <c r="C89">
        <f t="shared" si="4"/>
        <v>0.17328464999999998</v>
      </c>
    </row>
    <row r="90" spans="1:3" x14ac:dyDescent="0.2">
      <c r="A90">
        <v>89</v>
      </c>
      <c r="B90">
        <f t="shared" si="3"/>
        <v>0.49881574999999995</v>
      </c>
      <c r="C90">
        <f t="shared" si="4"/>
        <v>0.17458551249999998</v>
      </c>
    </row>
    <row r="91" spans="1:3" x14ac:dyDescent="0.2">
      <c r="A91">
        <v>90</v>
      </c>
      <c r="B91">
        <f t="shared" si="3"/>
        <v>0.50253249999999994</v>
      </c>
      <c r="C91">
        <f t="shared" si="4"/>
        <v>0.17588637499999996</v>
      </c>
    </row>
    <row r="92" spans="1:3" x14ac:dyDescent="0.2">
      <c r="A92">
        <v>91</v>
      </c>
      <c r="B92">
        <f t="shared" si="3"/>
        <v>0.50624924999999998</v>
      </c>
      <c r="C92">
        <f t="shared" si="4"/>
        <v>0.17718723749999998</v>
      </c>
    </row>
    <row r="93" spans="1:3" x14ac:dyDescent="0.2">
      <c r="A93">
        <v>92</v>
      </c>
      <c r="B93">
        <f t="shared" si="3"/>
        <v>0.50996599999999992</v>
      </c>
      <c r="C93">
        <f t="shared" si="4"/>
        <v>0.17848809999999996</v>
      </c>
    </row>
    <row r="94" spans="1:3" x14ac:dyDescent="0.2">
      <c r="A94">
        <v>93</v>
      </c>
      <c r="B94">
        <f t="shared" si="3"/>
        <v>0.51368274999999997</v>
      </c>
      <c r="C94">
        <f t="shared" si="4"/>
        <v>0.17978896249999998</v>
      </c>
    </row>
    <row r="95" spans="1:3" x14ac:dyDescent="0.2">
      <c r="A95">
        <v>94</v>
      </c>
      <c r="B95">
        <f t="shared" si="3"/>
        <v>0.51739950000000001</v>
      </c>
      <c r="C95">
        <f t="shared" si="4"/>
        <v>0.18108982499999998</v>
      </c>
    </row>
    <row r="96" spans="1:3" x14ac:dyDescent="0.2">
      <c r="A96">
        <v>95</v>
      </c>
      <c r="B96">
        <f t="shared" si="3"/>
        <v>0.52111624999999995</v>
      </c>
      <c r="C96">
        <f t="shared" si="4"/>
        <v>0.18239068749999998</v>
      </c>
    </row>
    <row r="97" spans="1:5" x14ac:dyDescent="0.2">
      <c r="A97">
        <v>96</v>
      </c>
      <c r="B97">
        <f t="shared" si="3"/>
        <v>0.52483299999999999</v>
      </c>
      <c r="C97">
        <f t="shared" si="4"/>
        <v>0.18369154999999998</v>
      </c>
    </row>
    <row r="98" spans="1:5" x14ac:dyDescent="0.2">
      <c r="A98">
        <v>97</v>
      </c>
      <c r="B98">
        <f t="shared" si="3"/>
        <v>0.52854974999999993</v>
      </c>
      <c r="C98">
        <f t="shared" si="4"/>
        <v>0.18499241249999995</v>
      </c>
    </row>
    <row r="99" spans="1:5" x14ac:dyDescent="0.2">
      <c r="A99">
        <v>98</v>
      </c>
      <c r="B99">
        <f t="shared" si="3"/>
        <v>0.53226649999999998</v>
      </c>
      <c r="C99">
        <f t="shared" si="4"/>
        <v>0.18629327499999998</v>
      </c>
      <c r="E99" t="s">
        <v>10</v>
      </c>
    </row>
    <row r="100" spans="1:5" x14ac:dyDescent="0.2">
      <c r="A100">
        <v>99</v>
      </c>
      <c r="B100">
        <f t="shared" si="3"/>
        <v>0.53598324999999991</v>
      </c>
      <c r="C100">
        <f t="shared" si="4"/>
        <v>0.18759413749999995</v>
      </c>
      <c r="E100">
        <f>((($B$101-$B$61)/($A$101-$A$61)))</f>
        <v>3.7167499999999991E-3</v>
      </c>
    </row>
    <row r="101" spans="1:5" x14ac:dyDescent="0.2">
      <c r="A101">
        <v>100</v>
      </c>
      <c r="B101">
        <v>0.53969999999999996</v>
      </c>
      <c r="C101">
        <f t="shared" si="4"/>
        <v>0.18889499999999998</v>
      </c>
    </row>
    <row r="102" spans="1:5" x14ac:dyDescent="0.2">
      <c r="A102">
        <v>101</v>
      </c>
      <c r="B102">
        <f>B101+$E$100</f>
        <v>0.54341675</v>
      </c>
      <c r="C102">
        <f t="shared" si="4"/>
        <v>0.19019586249999998</v>
      </c>
    </row>
    <row r="103" spans="1:5" x14ac:dyDescent="0.2">
      <c r="A103">
        <v>102</v>
      </c>
      <c r="B103">
        <f t="shared" ref="B103:B151" si="5">B102+$E$100</f>
        <v>0.54713350000000005</v>
      </c>
      <c r="C103">
        <f t="shared" si="4"/>
        <v>0.19149672500000001</v>
      </c>
    </row>
    <row r="104" spans="1:5" x14ac:dyDescent="0.2">
      <c r="A104">
        <v>103</v>
      </c>
      <c r="B104">
        <f t="shared" si="5"/>
        <v>0.5508502500000001</v>
      </c>
      <c r="C104">
        <f t="shared" si="4"/>
        <v>0.19279758750000003</v>
      </c>
    </row>
    <row r="105" spans="1:5" x14ac:dyDescent="0.2">
      <c r="A105">
        <v>104</v>
      </c>
      <c r="B105">
        <f t="shared" si="5"/>
        <v>0.55456700000000014</v>
      </c>
      <c r="C105">
        <f t="shared" si="4"/>
        <v>0.19409845000000003</v>
      </c>
    </row>
    <row r="106" spans="1:5" x14ac:dyDescent="0.2">
      <c r="A106">
        <v>105</v>
      </c>
      <c r="B106">
        <f t="shared" si="5"/>
        <v>0.55828375000000019</v>
      </c>
      <c r="C106">
        <f t="shared" si="4"/>
        <v>0.19539931250000006</v>
      </c>
    </row>
    <row r="107" spans="1:5" x14ac:dyDescent="0.2">
      <c r="A107">
        <v>106</v>
      </c>
      <c r="B107">
        <f t="shared" si="5"/>
        <v>0.56200050000000024</v>
      </c>
      <c r="C107">
        <f t="shared" si="4"/>
        <v>0.19670017500000006</v>
      </c>
    </row>
    <row r="108" spans="1:5" x14ac:dyDescent="0.2">
      <c r="A108">
        <v>107</v>
      </c>
      <c r="B108">
        <f t="shared" si="5"/>
        <v>0.56571725000000028</v>
      </c>
      <c r="C108">
        <f t="shared" si="4"/>
        <v>0.19800103750000009</v>
      </c>
    </row>
    <row r="109" spans="1:5" x14ac:dyDescent="0.2">
      <c r="A109">
        <v>108</v>
      </c>
      <c r="B109">
        <f t="shared" si="5"/>
        <v>0.56943400000000033</v>
      </c>
      <c r="C109">
        <f t="shared" si="4"/>
        <v>0.19930190000000012</v>
      </c>
    </row>
    <row r="110" spans="1:5" x14ac:dyDescent="0.2">
      <c r="A110">
        <v>109</v>
      </c>
      <c r="B110">
        <f t="shared" si="5"/>
        <v>0.57315075000000038</v>
      </c>
      <c r="C110">
        <f t="shared" si="4"/>
        <v>0.20060276250000011</v>
      </c>
    </row>
    <row r="111" spans="1:5" x14ac:dyDescent="0.2">
      <c r="A111">
        <v>110</v>
      </c>
      <c r="B111">
        <f t="shared" si="5"/>
        <v>0.57686750000000042</v>
      </c>
      <c r="C111">
        <f t="shared" si="4"/>
        <v>0.20190362500000014</v>
      </c>
    </row>
    <row r="112" spans="1:5" x14ac:dyDescent="0.2">
      <c r="A112">
        <v>111</v>
      </c>
      <c r="B112">
        <f t="shared" si="5"/>
        <v>0.58058425000000047</v>
      </c>
      <c r="C112">
        <f t="shared" si="4"/>
        <v>0.20320448750000014</v>
      </c>
    </row>
    <row r="113" spans="1:3" x14ac:dyDescent="0.2">
      <c r="A113">
        <v>112</v>
      </c>
      <c r="B113">
        <f t="shared" si="5"/>
        <v>0.58430100000000051</v>
      </c>
      <c r="C113">
        <f t="shared" si="4"/>
        <v>0.20450535000000017</v>
      </c>
    </row>
    <row r="114" spans="1:3" x14ac:dyDescent="0.2">
      <c r="A114">
        <v>113</v>
      </c>
      <c r="B114">
        <f t="shared" si="5"/>
        <v>0.58801775000000056</v>
      </c>
      <c r="C114">
        <f t="shared" si="4"/>
        <v>0.2058062125000002</v>
      </c>
    </row>
    <row r="115" spans="1:3" x14ac:dyDescent="0.2">
      <c r="A115">
        <v>114</v>
      </c>
      <c r="B115">
        <f t="shared" si="5"/>
        <v>0.59173450000000061</v>
      </c>
      <c r="C115">
        <f t="shared" si="4"/>
        <v>0.2071070750000002</v>
      </c>
    </row>
    <row r="116" spans="1:3" x14ac:dyDescent="0.2">
      <c r="A116">
        <v>115</v>
      </c>
      <c r="B116">
        <f t="shared" si="5"/>
        <v>0.59545125000000065</v>
      </c>
      <c r="C116">
        <f t="shared" si="4"/>
        <v>0.20840793750000022</v>
      </c>
    </row>
    <row r="117" spans="1:3" x14ac:dyDescent="0.2">
      <c r="A117">
        <v>116</v>
      </c>
      <c r="B117">
        <f t="shared" si="5"/>
        <v>0.5991680000000007</v>
      </c>
      <c r="C117">
        <f t="shared" si="4"/>
        <v>0.20970880000000022</v>
      </c>
    </row>
    <row r="118" spans="1:3" x14ac:dyDescent="0.2">
      <c r="A118">
        <v>117</v>
      </c>
      <c r="B118">
        <f t="shared" si="5"/>
        <v>0.60288475000000075</v>
      </c>
      <c r="C118">
        <f t="shared" si="4"/>
        <v>0.21100966250000025</v>
      </c>
    </row>
    <row r="119" spans="1:3" x14ac:dyDescent="0.2">
      <c r="A119">
        <v>118</v>
      </c>
      <c r="B119">
        <f t="shared" si="5"/>
        <v>0.60660150000000079</v>
      </c>
      <c r="C119">
        <f t="shared" si="4"/>
        <v>0.21231052500000028</v>
      </c>
    </row>
    <row r="120" spans="1:3" x14ac:dyDescent="0.2">
      <c r="A120">
        <v>119</v>
      </c>
      <c r="B120">
        <f t="shared" si="5"/>
        <v>0.61031825000000084</v>
      </c>
      <c r="C120">
        <f t="shared" si="4"/>
        <v>0.21361138750000028</v>
      </c>
    </row>
    <row r="121" spans="1:3" x14ac:dyDescent="0.2">
      <c r="A121">
        <v>120</v>
      </c>
      <c r="B121">
        <f t="shared" si="5"/>
        <v>0.61403500000000089</v>
      </c>
      <c r="C121">
        <f t="shared" si="4"/>
        <v>0.2149122500000003</v>
      </c>
    </row>
    <row r="122" spans="1:3" x14ac:dyDescent="0.2">
      <c r="A122">
        <v>121</v>
      </c>
      <c r="B122">
        <f t="shared" si="5"/>
        <v>0.61775175000000093</v>
      </c>
      <c r="C122">
        <f t="shared" si="4"/>
        <v>0.2162131125000003</v>
      </c>
    </row>
    <row r="123" spans="1:3" x14ac:dyDescent="0.2">
      <c r="A123">
        <v>122</v>
      </c>
      <c r="B123">
        <f t="shared" si="5"/>
        <v>0.62146850000000098</v>
      </c>
      <c r="C123">
        <f t="shared" si="4"/>
        <v>0.21751397500000033</v>
      </c>
    </row>
    <row r="124" spans="1:3" x14ac:dyDescent="0.2">
      <c r="A124">
        <v>123</v>
      </c>
      <c r="B124">
        <f t="shared" si="5"/>
        <v>0.62518525000000102</v>
      </c>
      <c r="C124">
        <f t="shared" si="4"/>
        <v>0.21881483750000036</v>
      </c>
    </row>
    <row r="125" spans="1:3" x14ac:dyDescent="0.2">
      <c r="A125">
        <v>124</v>
      </c>
      <c r="B125">
        <f t="shared" si="5"/>
        <v>0.62890200000000107</v>
      </c>
      <c r="C125">
        <f t="shared" si="4"/>
        <v>0.22011570000000036</v>
      </c>
    </row>
    <row r="126" spans="1:3" x14ac:dyDescent="0.2">
      <c r="A126">
        <v>125</v>
      </c>
      <c r="B126">
        <f t="shared" si="5"/>
        <v>0.63261875000000112</v>
      </c>
      <c r="C126">
        <f t="shared" si="4"/>
        <v>0.22141656250000039</v>
      </c>
    </row>
    <row r="127" spans="1:3" x14ac:dyDescent="0.2">
      <c r="A127">
        <v>126</v>
      </c>
      <c r="B127">
        <f t="shared" si="5"/>
        <v>0.63633550000000116</v>
      </c>
      <c r="C127">
        <f t="shared" si="4"/>
        <v>0.22271742500000039</v>
      </c>
    </row>
    <row r="128" spans="1:3" x14ac:dyDescent="0.2">
      <c r="A128">
        <v>127</v>
      </c>
      <c r="B128">
        <f t="shared" si="5"/>
        <v>0.64005225000000121</v>
      </c>
      <c r="C128">
        <f t="shared" si="4"/>
        <v>0.22401828750000041</v>
      </c>
    </row>
    <row r="129" spans="1:3" x14ac:dyDescent="0.2">
      <c r="A129">
        <v>128</v>
      </c>
      <c r="B129">
        <f t="shared" si="5"/>
        <v>0.64376900000000126</v>
      </c>
      <c r="C129">
        <f t="shared" si="4"/>
        <v>0.22531915000000041</v>
      </c>
    </row>
    <row r="130" spans="1:3" x14ac:dyDescent="0.2">
      <c r="A130">
        <v>129</v>
      </c>
      <c r="B130">
        <f t="shared" si="5"/>
        <v>0.6474857500000013</v>
      </c>
      <c r="C130">
        <f t="shared" si="4"/>
        <v>0.22662001250000044</v>
      </c>
    </row>
    <row r="131" spans="1:3" x14ac:dyDescent="0.2">
      <c r="A131">
        <v>130</v>
      </c>
      <c r="B131">
        <f t="shared" si="5"/>
        <v>0.65120250000000135</v>
      </c>
      <c r="C131">
        <f t="shared" ref="C131:C151" si="6">B131*0.35</f>
        <v>0.22792087500000047</v>
      </c>
    </row>
    <row r="132" spans="1:3" x14ac:dyDescent="0.2">
      <c r="A132">
        <v>131</v>
      </c>
      <c r="B132">
        <f t="shared" si="5"/>
        <v>0.6549192500000014</v>
      </c>
      <c r="C132">
        <f t="shared" si="6"/>
        <v>0.22922173750000047</v>
      </c>
    </row>
    <row r="133" spans="1:3" x14ac:dyDescent="0.2">
      <c r="A133">
        <v>132</v>
      </c>
      <c r="B133">
        <f t="shared" si="5"/>
        <v>0.65863600000000144</v>
      </c>
      <c r="C133">
        <f t="shared" si="6"/>
        <v>0.23052260000000049</v>
      </c>
    </row>
    <row r="134" spans="1:3" x14ac:dyDescent="0.2">
      <c r="A134">
        <v>133</v>
      </c>
      <c r="B134">
        <f t="shared" si="5"/>
        <v>0.66235275000000149</v>
      </c>
      <c r="C134">
        <f t="shared" si="6"/>
        <v>0.23182346250000049</v>
      </c>
    </row>
    <row r="135" spans="1:3" x14ac:dyDescent="0.2">
      <c r="A135">
        <v>134</v>
      </c>
      <c r="B135">
        <f t="shared" si="5"/>
        <v>0.66606950000000154</v>
      </c>
      <c r="C135">
        <f t="shared" si="6"/>
        <v>0.23312432500000052</v>
      </c>
    </row>
    <row r="136" spans="1:3" x14ac:dyDescent="0.2">
      <c r="A136">
        <v>135</v>
      </c>
      <c r="B136">
        <f t="shared" si="5"/>
        <v>0.66978625000000158</v>
      </c>
      <c r="C136">
        <f t="shared" si="6"/>
        <v>0.23442518750000055</v>
      </c>
    </row>
    <row r="137" spans="1:3" x14ac:dyDescent="0.2">
      <c r="A137">
        <v>136</v>
      </c>
      <c r="B137">
        <f t="shared" si="5"/>
        <v>0.67350300000000163</v>
      </c>
      <c r="C137">
        <f t="shared" si="6"/>
        <v>0.23572605000000055</v>
      </c>
    </row>
    <row r="138" spans="1:3" x14ac:dyDescent="0.2">
      <c r="A138">
        <v>137</v>
      </c>
      <c r="B138">
        <f t="shared" si="5"/>
        <v>0.67721975000000167</v>
      </c>
      <c r="C138">
        <f t="shared" si="6"/>
        <v>0.23702691250000057</v>
      </c>
    </row>
    <row r="139" spans="1:3" x14ac:dyDescent="0.2">
      <c r="A139">
        <v>138</v>
      </c>
      <c r="B139">
        <f t="shared" si="5"/>
        <v>0.68093650000000172</v>
      </c>
      <c r="C139">
        <f t="shared" si="6"/>
        <v>0.23832777500000057</v>
      </c>
    </row>
    <row r="140" spans="1:3" x14ac:dyDescent="0.2">
      <c r="A140">
        <v>139</v>
      </c>
      <c r="B140">
        <f t="shared" si="5"/>
        <v>0.68465325000000177</v>
      </c>
      <c r="C140">
        <f t="shared" si="6"/>
        <v>0.2396286375000006</v>
      </c>
    </row>
    <row r="141" spans="1:3" x14ac:dyDescent="0.2">
      <c r="A141">
        <v>140</v>
      </c>
      <c r="B141">
        <f t="shared" si="5"/>
        <v>0.68837000000000181</v>
      </c>
      <c r="C141">
        <f t="shared" si="6"/>
        <v>0.24092950000000063</v>
      </c>
    </row>
    <row r="142" spans="1:3" x14ac:dyDescent="0.2">
      <c r="A142">
        <v>141</v>
      </c>
      <c r="B142">
        <f t="shared" si="5"/>
        <v>0.69208675000000186</v>
      </c>
      <c r="C142">
        <f t="shared" si="6"/>
        <v>0.24223036250000063</v>
      </c>
    </row>
    <row r="143" spans="1:3" x14ac:dyDescent="0.2">
      <c r="A143">
        <v>142</v>
      </c>
      <c r="B143">
        <f t="shared" si="5"/>
        <v>0.69580350000000191</v>
      </c>
      <c r="C143">
        <f t="shared" si="6"/>
        <v>0.24353122500000066</v>
      </c>
    </row>
    <row r="144" spans="1:3" x14ac:dyDescent="0.2">
      <c r="A144">
        <v>143</v>
      </c>
      <c r="B144">
        <f t="shared" si="5"/>
        <v>0.69952025000000195</v>
      </c>
      <c r="C144">
        <f t="shared" si="6"/>
        <v>0.24483208750000066</v>
      </c>
    </row>
    <row r="145" spans="1:3" x14ac:dyDescent="0.2">
      <c r="A145">
        <v>144</v>
      </c>
      <c r="B145">
        <f t="shared" si="5"/>
        <v>0.703237000000002</v>
      </c>
      <c r="C145">
        <f t="shared" si="6"/>
        <v>0.24613295000000068</v>
      </c>
    </row>
    <row r="146" spans="1:3" x14ac:dyDescent="0.2">
      <c r="A146">
        <v>145</v>
      </c>
      <c r="B146">
        <f t="shared" si="5"/>
        <v>0.70695375000000205</v>
      </c>
      <c r="C146">
        <f t="shared" si="6"/>
        <v>0.24743381250000071</v>
      </c>
    </row>
    <row r="147" spans="1:3" x14ac:dyDescent="0.2">
      <c r="A147">
        <v>146</v>
      </c>
      <c r="B147">
        <f t="shared" si="5"/>
        <v>0.71067050000000209</v>
      </c>
      <c r="C147">
        <f t="shared" si="6"/>
        <v>0.24873467500000071</v>
      </c>
    </row>
    <row r="148" spans="1:3" x14ac:dyDescent="0.2">
      <c r="A148">
        <v>147</v>
      </c>
      <c r="B148">
        <f t="shared" si="5"/>
        <v>0.71438725000000214</v>
      </c>
      <c r="C148">
        <f t="shared" si="6"/>
        <v>0.25003553750000074</v>
      </c>
    </row>
    <row r="149" spans="1:3" x14ac:dyDescent="0.2">
      <c r="A149">
        <v>148</v>
      </c>
      <c r="B149">
        <f t="shared" si="5"/>
        <v>0.71810400000000219</v>
      </c>
      <c r="C149">
        <f t="shared" si="6"/>
        <v>0.25133640000000074</v>
      </c>
    </row>
    <row r="150" spans="1:3" x14ac:dyDescent="0.2">
      <c r="A150">
        <v>149</v>
      </c>
      <c r="B150">
        <f t="shared" si="5"/>
        <v>0.72182075000000223</v>
      </c>
      <c r="C150">
        <f t="shared" si="6"/>
        <v>0.25263726250000079</v>
      </c>
    </row>
    <row r="151" spans="1:3" x14ac:dyDescent="0.2">
      <c r="A151">
        <v>150</v>
      </c>
      <c r="B151">
        <f t="shared" si="5"/>
        <v>0.72553750000000228</v>
      </c>
      <c r="C151">
        <f t="shared" si="6"/>
        <v>0.25393812500000079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Retention_SMP1</vt:lpstr>
      <vt:lpstr>Retention_SMP3</vt:lpstr>
      <vt:lpstr>Pre-Flushing_SMP1</vt:lpstr>
      <vt:lpstr>Pre-Flushing_SMP3</vt:lpstr>
      <vt:lpstr>Post-Flushing_SMP1</vt:lpstr>
      <vt:lpstr>Post-Flushing_SMP3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Russell</dc:creator>
  <cp:lastModifiedBy>Ma, Min - (minma)</cp:lastModifiedBy>
  <dcterms:created xsi:type="dcterms:W3CDTF">2023-05-27T19:43:40Z</dcterms:created>
  <dcterms:modified xsi:type="dcterms:W3CDTF">2026-04-02T17:33:13Z</dcterms:modified>
</cp:coreProperties>
</file>